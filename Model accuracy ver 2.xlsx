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dd957fa63ae23/เดสก์ท็อป/MINN_CCFST/"/>
    </mc:Choice>
  </mc:AlternateContent>
  <xr:revisionPtr revIDLastSave="393" documentId="8_{34DF7D39-D37E-4FE9-9D08-5DC30837639B}" xr6:coauthVersionLast="47" xr6:coauthVersionMax="47" xr10:uidLastSave="{D8CA2017-50CD-446A-9346-09169DD715A0}"/>
  <bookViews>
    <workbookView xWindow="28680" yWindow="-120" windowWidth="29040" windowHeight="15720" activeTab="4" xr2:uid="{2CD1D790-6673-4355-8F65-B497F46D6EAE}"/>
  </bookViews>
  <sheets>
    <sheet name="Sensitivity" sheetId="8" r:id="rId1"/>
    <sheet name="SHAP" sheetId="7" r:id="rId2"/>
    <sheet name="Training" sheetId="5" r:id="rId3"/>
    <sheet name="Testing" sheetId="6" r:id="rId4"/>
    <sheet name="Accuracy" sheetId="2" r:id="rId5"/>
    <sheet name="para" sheetId="4" r:id="rId6"/>
    <sheet name="external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2" l="1"/>
  <c r="G27" i="2"/>
  <c r="G29" i="2"/>
  <c r="G28" i="2"/>
  <c r="P23" i="9"/>
  <c r="N23" i="9"/>
  <c r="L23" i="9"/>
  <c r="J23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" i="9"/>
  <c r="H4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37" i="7"/>
  <c r="H12" i="7"/>
  <c r="H7" i="7"/>
  <c r="H2" i="7"/>
  <c r="H41" i="7"/>
  <c r="H40" i="7"/>
  <c r="H39" i="7"/>
  <c r="H38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1" i="7"/>
  <c r="H10" i="7"/>
  <c r="H9" i="7"/>
  <c r="H8" i="7"/>
  <c r="H6" i="7"/>
  <c r="H5" i="7"/>
  <c r="H4" i="7"/>
  <c r="H3" i="7"/>
</calcChain>
</file>

<file path=xl/sharedStrings.xml><?xml version="1.0" encoding="utf-8"?>
<sst xmlns="http://schemas.openxmlformats.org/spreadsheetml/2006/main" count="706" uniqueCount="142">
  <si>
    <t>R2</t>
  </si>
  <si>
    <t>MAE</t>
  </si>
  <si>
    <t>MSE</t>
  </si>
  <si>
    <t>RMSE</t>
  </si>
  <si>
    <t>Train</t>
  </si>
  <si>
    <t>Test</t>
  </si>
  <si>
    <t>GBM</t>
  </si>
  <si>
    <t>LightGBM</t>
  </si>
  <si>
    <t>CatBoost</t>
  </si>
  <si>
    <t>AdaBoost</t>
  </si>
  <si>
    <t>XGBoost</t>
  </si>
  <si>
    <t>Ridge</t>
  </si>
  <si>
    <t>Lasso</t>
  </si>
  <si>
    <t>AISC</t>
  </si>
  <si>
    <t>EC4</t>
  </si>
  <si>
    <t>Category</t>
  </si>
  <si>
    <t>Linear</t>
  </si>
  <si>
    <t>Ensemble (Boosting)</t>
  </si>
  <si>
    <t>Tree-based</t>
  </si>
  <si>
    <t>Instance-based</t>
  </si>
  <si>
    <t>Neural Network</t>
  </si>
  <si>
    <t>ML Algrithm</t>
  </si>
  <si>
    <t>Data</t>
  </si>
  <si>
    <t>OLS</t>
  </si>
  <si>
    <t>DT</t>
  </si>
  <si>
    <t>RF</t>
  </si>
  <si>
    <t>ET</t>
  </si>
  <si>
    <t>A20</t>
  </si>
  <si>
    <t>Yu et al.</t>
  </si>
  <si>
    <t>Ding et al.</t>
  </si>
  <si>
    <t>Liang et al.</t>
  </si>
  <si>
    <t>KNN</t>
  </si>
  <si>
    <t>Adaboost</t>
  </si>
  <si>
    <t>D</t>
  </si>
  <si>
    <t>Fc</t>
  </si>
  <si>
    <t>t</t>
  </si>
  <si>
    <t>Fy</t>
  </si>
  <si>
    <t>L_D</t>
  </si>
  <si>
    <t>Model</t>
  </si>
  <si>
    <t>Variable</t>
  </si>
  <si>
    <t>Mean_SHAP</t>
  </si>
  <si>
    <t>Mean_Abs_SHAP</t>
  </si>
  <si>
    <t>SHAP_Rank</t>
  </si>
  <si>
    <t>Catalog</t>
  </si>
  <si>
    <t>ANN</t>
  </si>
  <si>
    <t>f_c</t>
  </si>
  <si>
    <t>f_y</t>
  </si>
  <si>
    <t>L/D</t>
  </si>
  <si>
    <t>Normalized SHAP</t>
  </si>
  <si>
    <t>Mean_Sensitivity</t>
  </si>
  <si>
    <t>Mean_Elasticity</t>
  </si>
  <si>
    <t>Elasticity_Rank</t>
  </si>
  <si>
    <t>Mean_Ratio</t>
  </si>
  <si>
    <t>Std_Ratio</t>
  </si>
  <si>
    <t>Ding</t>
  </si>
  <si>
    <t>Yu</t>
  </si>
  <si>
    <t>Liang</t>
  </si>
  <si>
    <t>Optimal value</t>
  </si>
  <si>
    <t>hyperparameter</t>
  </si>
  <si>
    <t>n_estimators</t>
  </si>
  <si>
    <t>max_depth</t>
  </si>
  <si>
    <t>learning_rate</t>
  </si>
  <si>
    <t>iterations</t>
  </si>
  <si>
    <t>depth</t>
  </si>
  <si>
    <t>tree_depth</t>
  </si>
  <si>
    <t>n_neighbors</t>
  </si>
  <si>
    <t>weights</t>
  </si>
  <si>
    <t>p</t>
  </si>
  <si>
    <t>distance</t>
  </si>
  <si>
    <t>uniform, distance</t>
  </si>
  <si>
    <t>fit_intercept</t>
  </si>
  <si>
    <t>[True, False]</t>
  </si>
  <si>
    <t>alpha</t>
  </si>
  <si>
    <t>max_iter</t>
  </si>
  <si>
    <t>min_samples_split</t>
  </si>
  <si>
    <t>min_samples_leaf</t>
  </si>
  <si>
    <t>Linear based</t>
  </si>
  <si>
    <t>Ensemble (Boosting) based</t>
  </si>
  <si>
    <t>Tree based</t>
  </si>
  <si>
    <t>Instance based</t>
  </si>
  <si>
    <t>Neural network based</t>
  </si>
  <si>
    <t>neuron</t>
  </si>
  <si>
    <t>hidden layer</t>
  </si>
  <si>
    <t>ML Algorithm</t>
  </si>
  <si>
    <t>Tree Based</t>
  </si>
  <si>
    <t>Booting Based</t>
  </si>
  <si>
    <t>MINN</t>
  </si>
  <si>
    <t>N</t>
  </si>
  <si>
    <t>fy</t>
  </si>
  <si>
    <t>fc</t>
  </si>
  <si>
    <t>Catboost</t>
  </si>
  <si>
    <t>Xgboost</t>
  </si>
  <si>
    <t>[2500 to 10000]</t>
  </si>
  <si>
    <t>[8 to 128]</t>
  </si>
  <si>
    <t>[1e-5 to 5e-4]</t>
  </si>
  <si>
    <t>[2 to 5]</t>
  </si>
  <si>
    <t>554/803</t>
  </si>
  <si>
    <t>182/268</t>
  </si>
  <si>
    <t>338/803</t>
  </si>
  <si>
    <t>105/268</t>
  </si>
  <si>
    <t>658/803</t>
  </si>
  <si>
    <t>217/268</t>
  </si>
  <si>
    <t>623/803</t>
  </si>
  <si>
    <t>206/268</t>
  </si>
  <si>
    <t>[ 2 to 20]</t>
  </si>
  <si>
    <t>[ 2 to 10]</t>
  </si>
  <si>
    <t>[200 to 1200]</t>
  </si>
  <si>
    <t>[2 to 10]</t>
  </si>
  <si>
    <t>[0.01 to 0.20]</t>
  </si>
  <si>
    <t>[1 to 30]</t>
  </si>
  <si>
    <t>[1 to 2]</t>
  </si>
  <si>
    <t>Search range</t>
  </si>
  <si>
    <t>Data-loss weight</t>
  </si>
  <si>
    <t>[0.0001 to 100]</t>
  </si>
  <si>
    <t>[0.001 to 0.02]</t>
  </si>
  <si>
    <t>REF</t>
  </si>
  <si>
    <t>Su et al. (2020)</t>
  </si>
  <si>
    <t>CC-1100-B</t>
  </si>
  <si>
    <t>89 × 3-C40-A</t>
  </si>
  <si>
    <t>89 × 3-C80-A</t>
  </si>
  <si>
    <t>89 × 3-C120-A</t>
  </si>
  <si>
    <t>89 × 4-C40-B</t>
  </si>
  <si>
    <t>89 × 4-C80-B</t>
  </si>
  <si>
    <t>89 × 4-C120-B</t>
  </si>
  <si>
    <t>108 × 4-C40-B</t>
  </si>
  <si>
    <t>108 × 4-C80-B</t>
  </si>
  <si>
    <t>108 × 4-C120-B</t>
  </si>
  <si>
    <t>133 × 4-C40-B</t>
  </si>
  <si>
    <t>133 × 4-C80-B</t>
  </si>
  <si>
    <t>133 × 4-C120-B</t>
  </si>
  <si>
    <t>133 × 4-C120-B-r</t>
  </si>
  <si>
    <t>Specimen</t>
  </si>
  <si>
    <t>C10</t>
  </si>
  <si>
    <t>Xiong et al 2017</t>
  </si>
  <si>
    <t>C13</t>
  </si>
  <si>
    <t>CC-275-A</t>
  </si>
  <si>
    <t>Liu et al 2023</t>
  </si>
  <si>
    <t>CC-550-A</t>
  </si>
  <si>
    <t>CC-880-A</t>
  </si>
  <si>
    <t>CC-275-B</t>
  </si>
  <si>
    <t>CC-550-B</t>
  </si>
  <si>
    <t>anerage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</si>
</sst>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00"/>
    <numFmt numFmtId="188" formatCode="0.000"/>
  </numFmts>
  <fonts count="7">
    <font>
      <sz val="11"/>
      <color theme="1"/>
      <name val="Tahoma"/>
      <family val="2"/>
      <charset val="22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ahoma"/>
      <family val="2"/>
    </font>
    <font>
      <b/>
      <sz val="11"/>
      <color theme="1"/>
      <name val="Tahoma"/>
      <family val="2"/>
      <scheme val="minor"/>
    </font>
    <font>
      <sz val="11"/>
      <name val="Times New Roman"/>
      <family val="1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0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0" fillId="2" borderId="0" xfId="0" applyFill="1"/>
    <xf numFmtId="0" fontId="3" fillId="2" borderId="4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2" fontId="0" fillId="2" borderId="3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2" fontId="0" fillId="2" borderId="1" xfId="0" applyNumberFormat="1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187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87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 applyAlignment="1">
      <alignment horizontal="center"/>
    </xf>
    <xf numFmtId="18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188" fontId="2" fillId="0" borderId="0" xfId="0" applyNumberFormat="1" applyFont="1" applyAlignment="1">
      <alignment horizontal="center" vertical="center"/>
    </xf>
    <xf numFmtId="188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0" fontId="2" fillId="2" borderId="3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188" fontId="2" fillId="2" borderId="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88" fontId="2" fillId="2" borderId="1" xfId="0" applyNumberFormat="1" applyFont="1" applyFill="1" applyBorder="1" applyAlignment="1">
      <alignment horizontal="center" vertical="center"/>
    </xf>
    <xf numFmtId="10" fontId="0" fillId="0" borderId="0" xfId="0" applyNumberFormat="1"/>
    <xf numFmtId="188" fontId="0" fillId="0" borderId="0" xfId="0" applyNumberFormat="1"/>
    <xf numFmtId="2" fontId="0" fillId="0" borderId="0" xfId="0" applyNumberFormat="1"/>
    <xf numFmtId="10" fontId="2" fillId="0" borderId="0" xfId="0" applyNumberFormat="1" applyFont="1" applyAlignment="1">
      <alignment horizontal="center"/>
    </xf>
    <xf numFmtId="10" fontId="2" fillId="2" borderId="0" xfId="0" applyNumberFormat="1" applyFont="1" applyFill="1" applyAlignment="1">
      <alignment horizontal="center"/>
    </xf>
    <xf numFmtId="188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2" borderId="0" xfId="0" applyNumberFormat="1" applyFont="1" applyFill="1" applyAlignment="1">
      <alignment horizontal="center"/>
    </xf>
    <xf numFmtId="188" fontId="2" fillId="2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2B04D4B7-4D24-402C-B69B-10C15B39CD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A7C8-9CD2-41E2-843D-1A001B84FD26}">
  <dimension ref="A1:H96"/>
  <sheetViews>
    <sheetView topLeftCell="A43" workbookViewId="0">
      <selection activeCell="C62" sqref="C62:F66"/>
    </sheetView>
  </sheetViews>
  <sheetFormatPr defaultRowHeight="14.25"/>
  <cols>
    <col min="1" max="1" width="13.375" customWidth="1"/>
    <col min="2" max="2" width="13.375" style="4" customWidth="1"/>
    <col min="5" max="6" width="14.625" customWidth="1"/>
  </cols>
  <sheetData>
    <row r="1" spans="1:8" s="7" customFormat="1">
      <c r="A1" s="8" t="s">
        <v>43</v>
      </c>
      <c r="B1" s="8" t="s">
        <v>38</v>
      </c>
      <c r="C1" s="8" t="s">
        <v>22</v>
      </c>
      <c r="D1" s="8" t="s">
        <v>39</v>
      </c>
      <c r="E1" s="8" t="s">
        <v>49</v>
      </c>
      <c r="F1" s="8" t="s">
        <v>50</v>
      </c>
      <c r="G1" s="8" t="s">
        <v>51</v>
      </c>
      <c r="H1" s="8"/>
    </row>
    <row r="2" spans="1:8">
      <c r="A2" s="82" t="s">
        <v>84</v>
      </c>
      <c r="B2" t="s">
        <v>24</v>
      </c>
      <c r="C2" t="s">
        <v>5</v>
      </c>
      <c r="D2" t="s">
        <v>33</v>
      </c>
      <c r="E2" s="10">
        <v>22.1723429586437</v>
      </c>
      <c r="F2" s="10">
        <v>2.0334846036886369</v>
      </c>
      <c r="G2">
        <v>1</v>
      </c>
    </row>
    <row r="3" spans="1:8">
      <c r="A3" s="82"/>
      <c r="B3" t="s">
        <v>24</v>
      </c>
      <c r="C3" t="s">
        <v>5</v>
      </c>
      <c r="D3" t="s">
        <v>89</v>
      </c>
      <c r="E3" s="10">
        <v>16.804040343532961</v>
      </c>
      <c r="F3" s="10">
        <v>0.44059575411104679</v>
      </c>
      <c r="G3">
        <v>2</v>
      </c>
    </row>
    <row r="4" spans="1:8">
      <c r="A4" s="82"/>
      <c r="B4" t="s">
        <v>24</v>
      </c>
      <c r="C4" t="s">
        <v>5</v>
      </c>
      <c r="D4" t="s">
        <v>37</v>
      </c>
      <c r="E4" s="10">
        <v>-228.09689258305991</v>
      </c>
      <c r="F4" s="10">
        <v>-0.4085270016050096</v>
      </c>
      <c r="G4">
        <v>3</v>
      </c>
    </row>
    <row r="5" spans="1:8">
      <c r="A5" s="82"/>
      <c r="B5" t="s">
        <v>24</v>
      </c>
      <c r="C5" t="s">
        <v>5</v>
      </c>
      <c r="D5" t="s">
        <v>35</v>
      </c>
      <c r="E5" s="10">
        <v>117.5957928486294</v>
      </c>
      <c r="F5" s="10">
        <v>0.38716332861492692</v>
      </c>
      <c r="G5">
        <v>4</v>
      </c>
    </row>
    <row r="6" spans="1:8">
      <c r="A6" s="82"/>
      <c r="B6" t="s">
        <v>24</v>
      </c>
      <c r="C6" t="s">
        <v>5</v>
      </c>
      <c r="D6" t="s">
        <v>88</v>
      </c>
      <c r="E6" s="10">
        <v>-1.0588451931386711</v>
      </c>
      <c r="F6" s="10">
        <v>-0.1276393429838813</v>
      </c>
      <c r="G6">
        <v>5</v>
      </c>
    </row>
    <row r="7" spans="1:8">
      <c r="A7" s="82"/>
      <c r="B7" t="s">
        <v>25</v>
      </c>
      <c r="C7" t="s">
        <v>5</v>
      </c>
      <c r="D7" t="s">
        <v>33</v>
      </c>
      <c r="E7" s="10">
        <v>22.882046316789889</v>
      </c>
      <c r="F7" s="10">
        <v>2.1074183268139288</v>
      </c>
      <c r="G7">
        <v>1</v>
      </c>
    </row>
    <row r="8" spans="1:8">
      <c r="A8" s="82"/>
      <c r="B8" t="s">
        <v>25</v>
      </c>
      <c r="C8" t="s">
        <v>5</v>
      </c>
      <c r="D8" t="s">
        <v>35</v>
      </c>
      <c r="E8" s="10">
        <v>155.40561799761619</v>
      </c>
      <c r="F8" s="10">
        <v>0.5872151315107963</v>
      </c>
      <c r="G8">
        <v>2</v>
      </c>
    </row>
    <row r="9" spans="1:8">
      <c r="A9" s="82"/>
      <c r="B9" t="s">
        <v>25</v>
      </c>
      <c r="C9" t="s">
        <v>5</v>
      </c>
      <c r="D9" t="s">
        <v>89</v>
      </c>
      <c r="E9" s="10">
        <v>10.60964706042496</v>
      </c>
      <c r="F9" s="10">
        <v>0.38667132836209372</v>
      </c>
      <c r="G9">
        <v>3</v>
      </c>
    </row>
    <row r="10" spans="1:8">
      <c r="A10" s="82"/>
      <c r="B10" t="s">
        <v>25</v>
      </c>
      <c r="C10" t="s">
        <v>5</v>
      </c>
      <c r="D10" t="s">
        <v>37</v>
      </c>
      <c r="E10" s="10">
        <v>-196.5050082868141</v>
      </c>
      <c r="F10" s="10">
        <v>-0.33467575736800159</v>
      </c>
      <c r="G10">
        <v>4</v>
      </c>
    </row>
    <row r="11" spans="1:8">
      <c r="A11" s="82"/>
      <c r="B11" t="s">
        <v>25</v>
      </c>
      <c r="C11" t="s">
        <v>5</v>
      </c>
      <c r="D11" t="s">
        <v>88</v>
      </c>
      <c r="E11" s="10">
        <v>-0.51410101908603067</v>
      </c>
      <c r="F11" s="10">
        <v>0.20331440129819731</v>
      </c>
      <c r="G11">
        <v>5</v>
      </c>
    </row>
    <row r="12" spans="1:8">
      <c r="A12" s="82"/>
      <c r="B12" t="s">
        <v>26</v>
      </c>
      <c r="C12" t="s">
        <v>5</v>
      </c>
      <c r="D12" t="s">
        <v>33</v>
      </c>
      <c r="E12" s="10">
        <v>16.760643010665529</v>
      </c>
      <c r="F12" s="10">
        <v>1.5869029205143921</v>
      </c>
      <c r="G12">
        <v>1</v>
      </c>
    </row>
    <row r="13" spans="1:8">
      <c r="A13" s="82"/>
      <c r="B13" t="s">
        <v>26</v>
      </c>
      <c r="C13" t="s">
        <v>5</v>
      </c>
      <c r="D13" t="s">
        <v>35</v>
      </c>
      <c r="E13" s="10">
        <v>196.22960639479581</v>
      </c>
      <c r="F13" s="10">
        <v>0.583538963353332</v>
      </c>
      <c r="G13">
        <v>2</v>
      </c>
    </row>
    <row r="14" spans="1:8">
      <c r="A14" s="82"/>
      <c r="B14" t="s">
        <v>26</v>
      </c>
      <c r="C14" t="s">
        <v>5</v>
      </c>
      <c r="D14" t="s">
        <v>34</v>
      </c>
      <c r="E14" s="10">
        <v>8.9826078168404901</v>
      </c>
      <c r="F14" s="10">
        <v>0.27438392076683088</v>
      </c>
      <c r="G14">
        <v>3</v>
      </c>
    </row>
    <row r="15" spans="1:8">
      <c r="A15" s="82"/>
      <c r="B15" t="s">
        <v>26</v>
      </c>
      <c r="C15" t="s">
        <v>5</v>
      </c>
      <c r="D15" t="s">
        <v>36</v>
      </c>
      <c r="E15" s="10">
        <v>0.34807924259783329</v>
      </c>
      <c r="F15" s="10">
        <v>0.22462321305068431</v>
      </c>
      <c r="G15">
        <v>4</v>
      </c>
    </row>
    <row r="16" spans="1:8">
      <c r="A16" s="83"/>
      <c r="B16" s="6" t="s">
        <v>26</v>
      </c>
      <c r="C16" s="6" t="s">
        <v>5</v>
      </c>
      <c r="D16" s="6" t="s">
        <v>37</v>
      </c>
      <c r="E16" s="11">
        <v>-69.395328281907894</v>
      </c>
      <c r="F16" s="11">
        <v>-6.2337321551059893E-2</v>
      </c>
      <c r="G16" s="6">
        <v>5</v>
      </c>
      <c r="H16" s="6"/>
    </row>
    <row r="17" spans="1:8" s="20" customFormat="1">
      <c r="A17" s="84" t="s">
        <v>85</v>
      </c>
      <c r="B17" s="23" t="s">
        <v>7</v>
      </c>
      <c r="C17" s="23" t="s">
        <v>5</v>
      </c>
      <c r="D17" s="23" t="s">
        <v>33</v>
      </c>
      <c r="E17" s="24">
        <v>25.009869713433471</v>
      </c>
      <c r="F17" s="24">
        <v>1.8302035743104801</v>
      </c>
      <c r="G17" s="23">
        <v>1</v>
      </c>
      <c r="H17" s="23"/>
    </row>
    <row r="18" spans="1:8" s="20" customFormat="1">
      <c r="A18" s="85"/>
      <c r="B18" s="20" t="s">
        <v>7</v>
      </c>
      <c r="C18" s="20" t="s">
        <v>5</v>
      </c>
      <c r="D18" s="20" t="s">
        <v>35</v>
      </c>
      <c r="E18" s="26">
        <v>575.68364946856184</v>
      </c>
      <c r="F18" s="26">
        <v>1.1073698523171649</v>
      </c>
      <c r="G18" s="20">
        <v>2</v>
      </c>
    </row>
    <row r="19" spans="1:8" s="20" customFormat="1">
      <c r="A19" s="85"/>
      <c r="B19" s="20" t="s">
        <v>7</v>
      </c>
      <c r="C19" s="20" t="s">
        <v>5</v>
      </c>
      <c r="D19" s="20" t="s">
        <v>88</v>
      </c>
      <c r="E19" s="26">
        <v>8.0443908509357804</v>
      </c>
      <c r="F19" s="26">
        <v>0.58425051041577314</v>
      </c>
      <c r="G19" s="20">
        <v>3</v>
      </c>
    </row>
    <row r="20" spans="1:8" s="20" customFormat="1">
      <c r="A20" s="85"/>
      <c r="B20" s="20" t="s">
        <v>7</v>
      </c>
      <c r="C20" s="20" t="s">
        <v>5</v>
      </c>
      <c r="D20" s="20" t="s">
        <v>89</v>
      </c>
      <c r="E20" s="26">
        <v>-4.3950227348628053</v>
      </c>
      <c r="F20" s="26">
        <v>0.1964878982134198</v>
      </c>
      <c r="G20" s="20">
        <v>4</v>
      </c>
    </row>
    <row r="21" spans="1:8" s="20" customFormat="1">
      <c r="A21" s="85"/>
      <c r="B21" s="20" t="s">
        <v>7</v>
      </c>
      <c r="C21" s="20" t="s">
        <v>5</v>
      </c>
      <c r="D21" s="20" t="s">
        <v>37</v>
      </c>
      <c r="E21" s="26">
        <v>1244.121698831201</v>
      </c>
      <c r="F21" s="26">
        <v>1.0311180549004419</v>
      </c>
      <c r="G21" s="20">
        <v>5</v>
      </c>
    </row>
    <row r="22" spans="1:8" s="20" customFormat="1">
      <c r="A22" s="85"/>
      <c r="B22" s="20" t="s">
        <v>6</v>
      </c>
      <c r="C22" s="20" t="s">
        <v>5</v>
      </c>
      <c r="D22" s="20" t="s">
        <v>33</v>
      </c>
      <c r="E22" s="26">
        <v>7.0804861233247989</v>
      </c>
      <c r="F22" s="26">
        <v>0.73262836868350645</v>
      </c>
      <c r="G22" s="20">
        <v>1</v>
      </c>
    </row>
    <row r="23" spans="1:8" s="20" customFormat="1">
      <c r="A23" s="85"/>
      <c r="B23" s="20" t="s">
        <v>6</v>
      </c>
      <c r="C23" s="20" t="s">
        <v>5</v>
      </c>
      <c r="D23" s="20" t="s">
        <v>35</v>
      </c>
      <c r="E23" s="26">
        <v>276.32423937206238</v>
      </c>
      <c r="F23" s="26">
        <v>0.63062636886801093</v>
      </c>
      <c r="G23" s="20">
        <v>2</v>
      </c>
    </row>
    <row r="24" spans="1:8" s="20" customFormat="1">
      <c r="A24" s="85"/>
      <c r="B24" s="20" t="s">
        <v>6</v>
      </c>
      <c r="C24" s="20" t="s">
        <v>5</v>
      </c>
      <c r="D24" s="20" t="s">
        <v>88</v>
      </c>
      <c r="E24" s="26">
        <v>6.5940368231270527</v>
      </c>
      <c r="F24" s="26">
        <v>0.62014086578875749</v>
      </c>
      <c r="G24" s="20">
        <v>3</v>
      </c>
    </row>
    <row r="25" spans="1:8" s="20" customFormat="1">
      <c r="A25" s="85"/>
      <c r="B25" s="20" t="s">
        <v>6</v>
      </c>
      <c r="C25" s="20" t="s">
        <v>5</v>
      </c>
      <c r="D25" s="20" t="s">
        <v>89</v>
      </c>
      <c r="E25" s="26">
        <v>-35.499468131601887</v>
      </c>
      <c r="F25" s="26">
        <v>-0.45872199077812481</v>
      </c>
      <c r="G25" s="20">
        <v>4</v>
      </c>
    </row>
    <row r="26" spans="1:8" s="20" customFormat="1">
      <c r="A26" s="85"/>
      <c r="B26" s="20" t="s">
        <v>6</v>
      </c>
      <c r="C26" s="20" t="s">
        <v>5</v>
      </c>
      <c r="D26" s="20" t="s">
        <v>37</v>
      </c>
      <c r="E26" s="26">
        <v>2062.1192014265271</v>
      </c>
      <c r="F26" s="26">
        <v>1.8695327651899989</v>
      </c>
      <c r="G26" s="20">
        <v>5</v>
      </c>
    </row>
    <row r="27" spans="1:8" s="20" customFormat="1">
      <c r="A27" s="85"/>
      <c r="B27" s="20" t="s">
        <v>8</v>
      </c>
      <c r="C27" s="20" t="s">
        <v>5</v>
      </c>
      <c r="D27" s="20" t="s">
        <v>33</v>
      </c>
      <c r="E27" s="26">
        <v>21.314685662860221</v>
      </c>
      <c r="F27" s="26">
        <v>2.1257614539935088</v>
      </c>
      <c r="G27" s="20">
        <v>1</v>
      </c>
    </row>
    <row r="28" spans="1:8" s="20" customFormat="1">
      <c r="A28" s="85"/>
      <c r="B28" s="20" t="s">
        <v>8</v>
      </c>
      <c r="C28" s="20" t="s">
        <v>5</v>
      </c>
      <c r="D28" s="20" t="s">
        <v>35</v>
      </c>
      <c r="E28" s="26">
        <v>371.6762586490384</v>
      </c>
      <c r="F28" s="26">
        <v>0.59916793386452349</v>
      </c>
      <c r="G28" s="20">
        <v>2</v>
      </c>
    </row>
    <row r="29" spans="1:8" s="20" customFormat="1">
      <c r="A29" s="85"/>
      <c r="B29" s="20" t="s">
        <v>8</v>
      </c>
      <c r="C29" s="20" t="s">
        <v>5</v>
      </c>
      <c r="D29" s="20" t="s">
        <v>88</v>
      </c>
      <c r="E29" s="26">
        <v>4.8253431967879257</v>
      </c>
      <c r="F29" s="26">
        <v>0.66038785016921075</v>
      </c>
      <c r="G29" s="20">
        <v>3</v>
      </c>
    </row>
    <row r="30" spans="1:8" s="20" customFormat="1">
      <c r="A30" s="85"/>
      <c r="B30" s="20" t="s">
        <v>8</v>
      </c>
      <c r="C30" s="20" t="s">
        <v>5</v>
      </c>
      <c r="D30" s="20" t="s">
        <v>89</v>
      </c>
      <c r="E30" s="26">
        <v>-4.436085082569261</v>
      </c>
      <c r="F30" s="26">
        <v>-6.696652196833007E-2</v>
      </c>
      <c r="G30" s="20">
        <v>4</v>
      </c>
    </row>
    <row r="31" spans="1:8" s="20" customFormat="1">
      <c r="A31" s="85"/>
      <c r="B31" s="20" t="s">
        <v>8</v>
      </c>
      <c r="C31" s="20" t="s">
        <v>5</v>
      </c>
      <c r="D31" s="20" t="s">
        <v>37</v>
      </c>
      <c r="E31" s="26">
        <v>2057.0043707702098</v>
      </c>
      <c r="F31" s="26">
        <v>2.2423153407970742</v>
      </c>
      <c r="G31" s="20">
        <v>5</v>
      </c>
    </row>
    <row r="32" spans="1:8" s="20" customFormat="1">
      <c r="A32" s="85"/>
      <c r="B32" s="20" t="s">
        <v>9</v>
      </c>
      <c r="C32" s="20" t="s">
        <v>5</v>
      </c>
      <c r="D32" s="20" t="s">
        <v>33</v>
      </c>
      <c r="E32" s="26">
        <v>14.25035091791346</v>
      </c>
      <c r="F32" s="26">
        <v>1.2902039044244671</v>
      </c>
      <c r="G32" s="20">
        <v>1</v>
      </c>
    </row>
    <row r="33" spans="1:8" s="20" customFormat="1">
      <c r="A33" s="85"/>
      <c r="B33" s="20" t="s">
        <v>9</v>
      </c>
      <c r="C33" s="20" t="s">
        <v>5</v>
      </c>
      <c r="D33" s="20" t="s">
        <v>35</v>
      </c>
      <c r="E33" s="26">
        <v>79.512289841385268</v>
      </c>
      <c r="F33" s="26">
        <v>0.25260343090484388</v>
      </c>
      <c r="G33" s="20">
        <v>2</v>
      </c>
    </row>
    <row r="34" spans="1:8" s="20" customFormat="1">
      <c r="A34" s="85"/>
      <c r="B34" s="20" t="s">
        <v>9</v>
      </c>
      <c r="C34" s="20" t="s">
        <v>5</v>
      </c>
      <c r="D34" s="20" t="s">
        <v>88</v>
      </c>
      <c r="E34" s="26">
        <v>0.87912732136582505</v>
      </c>
      <c r="F34" s="26">
        <v>0.25707200995889878</v>
      </c>
      <c r="G34" s="20">
        <v>3</v>
      </c>
    </row>
    <row r="35" spans="1:8" s="20" customFormat="1">
      <c r="A35" s="85"/>
      <c r="B35" s="20" t="s">
        <v>9</v>
      </c>
      <c r="C35" s="20" t="s">
        <v>5</v>
      </c>
      <c r="D35" s="20" t="s">
        <v>89</v>
      </c>
      <c r="E35" s="26">
        <v>5.5997351960022712</v>
      </c>
      <c r="F35" s="26">
        <v>0.1663007989825204</v>
      </c>
      <c r="G35" s="20">
        <v>4</v>
      </c>
    </row>
    <row r="36" spans="1:8" s="20" customFormat="1">
      <c r="A36" s="85"/>
      <c r="B36" s="20" t="s">
        <v>9</v>
      </c>
      <c r="C36" s="20" t="s">
        <v>5</v>
      </c>
      <c r="D36" s="20" t="s">
        <v>37</v>
      </c>
      <c r="E36" s="26">
        <v>-64.021505628286448</v>
      </c>
      <c r="F36" s="26">
        <v>-0.10180976195684539</v>
      </c>
      <c r="G36" s="20">
        <v>5</v>
      </c>
    </row>
    <row r="37" spans="1:8" s="20" customFormat="1">
      <c r="A37" s="85"/>
      <c r="B37" s="20" t="s">
        <v>10</v>
      </c>
      <c r="C37" s="20" t="s">
        <v>5</v>
      </c>
      <c r="D37" s="20" t="s">
        <v>33</v>
      </c>
      <c r="E37" s="26">
        <v>8.0422822000927763</v>
      </c>
      <c r="F37" s="26">
        <v>0.96100443601608276</v>
      </c>
      <c r="G37" s="20">
        <v>1</v>
      </c>
    </row>
    <row r="38" spans="1:8" s="20" customFormat="1">
      <c r="A38" s="85"/>
      <c r="B38" s="20" t="s">
        <v>10</v>
      </c>
      <c r="C38" s="20" t="s">
        <v>5</v>
      </c>
      <c r="D38" s="20" t="s">
        <v>35</v>
      </c>
      <c r="E38" s="26">
        <v>76.185481068375651</v>
      </c>
      <c r="F38" s="26">
        <v>0.27823668718338013</v>
      </c>
      <c r="G38" s="20">
        <v>2</v>
      </c>
    </row>
    <row r="39" spans="1:8" s="20" customFormat="1">
      <c r="A39" s="85"/>
      <c r="B39" s="20" t="s">
        <v>10</v>
      </c>
      <c r="C39" s="20" t="s">
        <v>5</v>
      </c>
      <c r="D39" s="20" t="s">
        <v>88</v>
      </c>
      <c r="E39" s="26">
        <v>8.9961286961149014</v>
      </c>
      <c r="F39" s="26">
        <v>1.526173949241638</v>
      </c>
      <c r="G39" s="20">
        <v>3</v>
      </c>
    </row>
    <row r="40" spans="1:8" s="20" customFormat="1">
      <c r="A40" s="85"/>
      <c r="B40" s="20" t="s">
        <v>10</v>
      </c>
      <c r="C40" s="20" t="s">
        <v>5</v>
      </c>
      <c r="D40" s="20" t="s">
        <v>89</v>
      </c>
      <c r="E40" s="26">
        <v>-11.21757609144297</v>
      </c>
      <c r="F40" s="26">
        <v>0.48038700222969061</v>
      </c>
      <c r="G40" s="20">
        <v>4</v>
      </c>
    </row>
    <row r="41" spans="1:8" s="20" customFormat="1">
      <c r="A41" s="86"/>
      <c r="B41" s="28" t="s">
        <v>10</v>
      </c>
      <c r="C41" s="28" t="s">
        <v>5</v>
      </c>
      <c r="D41" s="28" t="s">
        <v>37</v>
      </c>
      <c r="E41" s="29">
        <v>908.07266607096005</v>
      </c>
      <c r="F41" s="29">
        <v>0.80455827713012695</v>
      </c>
      <c r="G41" s="28">
        <v>5</v>
      </c>
      <c r="H41" s="28"/>
    </row>
    <row r="42" spans="1:8" s="20" customFormat="1">
      <c r="A42" s="84" t="s">
        <v>76</v>
      </c>
      <c r="B42" s="23" t="s">
        <v>23</v>
      </c>
      <c r="C42" s="23" t="s">
        <v>5</v>
      </c>
      <c r="D42" s="23" t="s">
        <v>33</v>
      </c>
      <c r="E42" s="24">
        <v>31.891965396647262</v>
      </c>
      <c r="F42" s="24">
        <v>1.7558100030165029</v>
      </c>
      <c r="G42" s="23">
        <v>1</v>
      </c>
      <c r="H42" s="23"/>
    </row>
    <row r="43" spans="1:8" s="20" customFormat="1">
      <c r="A43" s="85"/>
      <c r="B43" s="20" t="s">
        <v>23</v>
      </c>
      <c r="C43" s="20" t="s">
        <v>5</v>
      </c>
      <c r="D43" s="20" t="s">
        <v>35</v>
      </c>
      <c r="E43" s="26">
        <v>276.68626936090169</v>
      </c>
      <c r="F43" s="26">
        <v>0.41296902679719638</v>
      </c>
      <c r="G43" s="20">
        <v>2</v>
      </c>
    </row>
    <row r="44" spans="1:8" s="20" customFormat="1">
      <c r="A44" s="85"/>
      <c r="B44" s="20" t="s">
        <v>23</v>
      </c>
      <c r="C44" s="20" t="s">
        <v>5</v>
      </c>
      <c r="D44" s="20" t="s">
        <v>88</v>
      </c>
      <c r="E44" s="26">
        <v>3.4207332577008049</v>
      </c>
      <c r="F44" s="26">
        <v>0.37363745629240519</v>
      </c>
      <c r="G44" s="20">
        <v>3</v>
      </c>
    </row>
    <row r="45" spans="1:8" s="20" customFormat="1">
      <c r="A45" s="85"/>
      <c r="B45" s="20" t="s">
        <v>23</v>
      </c>
      <c r="C45" s="20" t="s">
        <v>5</v>
      </c>
      <c r="D45" s="20" t="s">
        <v>89</v>
      </c>
      <c r="E45" s="26">
        <v>16.220804828556311</v>
      </c>
      <c r="F45" s="26">
        <v>0.21589821514629781</v>
      </c>
      <c r="G45" s="20">
        <v>4</v>
      </c>
    </row>
    <row r="46" spans="1:8" s="20" customFormat="1">
      <c r="A46" s="85"/>
      <c r="B46" s="20" t="s">
        <v>23</v>
      </c>
      <c r="C46" s="20" t="s">
        <v>5</v>
      </c>
      <c r="D46" s="20" t="s">
        <v>37</v>
      </c>
      <c r="E46" s="26">
        <v>66.484201076783918</v>
      </c>
      <c r="F46" s="26">
        <v>4.4692262726468757E-2</v>
      </c>
      <c r="G46" s="20">
        <v>5</v>
      </c>
    </row>
    <row r="47" spans="1:8" s="20" customFormat="1">
      <c r="A47" s="85"/>
      <c r="B47" s="20" t="s">
        <v>11</v>
      </c>
      <c r="C47" s="20" t="s">
        <v>5</v>
      </c>
      <c r="D47" s="20" t="s">
        <v>33</v>
      </c>
      <c r="E47" s="26">
        <v>31.891959511847539</v>
      </c>
      <c r="F47" s="26">
        <v>1.7557971720958481</v>
      </c>
      <c r="G47" s="20">
        <v>1</v>
      </c>
    </row>
    <row r="48" spans="1:8" s="20" customFormat="1">
      <c r="A48" s="85"/>
      <c r="B48" s="20" t="s">
        <v>11</v>
      </c>
      <c r="C48" s="20" t="s">
        <v>5</v>
      </c>
      <c r="D48" s="20" t="s">
        <v>35</v>
      </c>
      <c r="E48" s="26">
        <v>276.68631536274131</v>
      </c>
      <c r="F48" s="26">
        <v>0.4129649586039571</v>
      </c>
      <c r="G48" s="20">
        <v>2</v>
      </c>
    </row>
    <row r="49" spans="1:8" s="20" customFormat="1">
      <c r="A49" s="85"/>
      <c r="B49" s="20" t="s">
        <v>11</v>
      </c>
      <c r="C49" s="20" t="s">
        <v>5</v>
      </c>
      <c r="D49" s="20" t="s">
        <v>88</v>
      </c>
      <c r="E49" s="26">
        <v>3.4207324759731228</v>
      </c>
      <c r="F49" s="26">
        <v>0.37363355080139721</v>
      </c>
      <c r="G49" s="20">
        <v>3</v>
      </c>
    </row>
    <row r="50" spans="1:8" s="20" customFormat="1">
      <c r="A50" s="85"/>
      <c r="B50" s="20" t="s">
        <v>11</v>
      </c>
      <c r="C50" s="20" t="s">
        <v>5</v>
      </c>
      <c r="D50" s="20" t="s">
        <v>89</v>
      </c>
      <c r="E50" s="26">
        <v>16.22080120967685</v>
      </c>
      <c r="F50" s="26">
        <v>0.2158962748252313</v>
      </c>
      <c r="G50" s="20">
        <v>4</v>
      </c>
    </row>
    <row r="51" spans="1:8" s="20" customFormat="1">
      <c r="A51" s="85"/>
      <c r="B51" s="20" t="s">
        <v>11</v>
      </c>
      <c r="C51" s="20" t="s">
        <v>5</v>
      </c>
      <c r="D51" s="20" t="s">
        <v>37</v>
      </c>
      <c r="E51" s="26">
        <v>66.484081060047927</v>
      </c>
      <c r="F51" s="26">
        <v>4.4691046163972549E-2</v>
      </c>
      <c r="G51" s="20">
        <v>5</v>
      </c>
    </row>
    <row r="52" spans="1:8" s="20" customFormat="1">
      <c r="A52" s="85"/>
      <c r="B52" s="20" t="s">
        <v>12</v>
      </c>
      <c r="C52" s="20" t="s">
        <v>5</v>
      </c>
      <c r="D52" s="20" t="s">
        <v>33</v>
      </c>
      <c r="E52" s="26">
        <v>31.891836169382621</v>
      </c>
      <c r="F52" s="26">
        <v>1.7553847532096181</v>
      </c>
      <c r="G52" s="20">
        <v>1</v>
      </c>
    </row>
    <row r="53" spans="1:8" s="20" customFormat="1">
      <c r="A53" s="85"/>
      <c r="B53" s="20" t="s">
        <v>12</v>
      </c>
      <c r="C53" s="20" t="s">
        <v>5</v>
      </c>
      <c r="D53" s="20" t="s">
        <v>35</v>
      </c>
      <c r="E53" s="26">
        <v>276.67936341710572</v>
      </c>
      <c r="F53" s="26">
        <v>0.41283517208122328</v>
      </c>
      <c r="G53" s="20">
        <v>2</v>
      </c>
    </row>
    <row r="54" spans="1:8" s="20" customFormat="1">
      <c r="A54" s="85"/>
      <c r="B54" s="20" t="s">
        <v>12</v>
      </c>
      <c r="C54" s="20" t="s">
        <v>5</v>
      </c>
      <c r="D54" s="20" t="s">
        <v>88</v>
      </c>
      <c r="E54" s="26">
        <v>3.4205098727342329</v>
      </c>
      <c r="F54" s="26">
        <v>0.37350410076299101</v>
      </c>
      <c r="G54" s="20">
        <v>3</v>
      </c>
    </row>
    <row r="55" spans="1:8" s="20" customFormat="1">
      <c r="A55" s="85"/>
      <c r="B55" s="20" t="s">
        <v>12</v>
      </c>
      <c r="C55" s="20" t="s">
        <v>5</v>
      </c>
      <c r="D55" s="20" t="s">
        <v>89</v>
      </c>
      <c r="E55" s="26">
        <v>16.220000061326271</v>
      </c>
      <c r="F55" s="26">
        <v>0.21586567024539169</v>
      </c>
      <c r="G55" s="20">
        <v>4</v>
      </c>
    </row>
    <row r="56" spans="1:8" s="20" customFormat="1">
      <c r="A56" s="86"/>
      <c r="B56" s="28" t="s">
        <v>12</v>
      </c>
      <c r="C56" s="28" t="s">
        <v>5</v>
      </c>
      <c r="D56" s="28" t="s">
        <v>37</v>
      </c>
      <c r="E56" s="29">
        <v>66.458783924574874</v>
      </c>
      <c r="F56" s="29">
        <v>4.4665014594429203E-2</v>
      </c>
      <c r="G56" s="28">
        <v>5</v>
      </c>
      <c r="H56" s="28"/>
    </row>
    <row r="57" spans="1:8" s="20" customFormat="1">
      <c r="A57" s="87"/>
      <c r="B57" s="23" t="s">
        <v>31</v>
      </c>
      <c r="C57" s="23" t="s">
        <v>5</v>
      </c>
      <c r="D57" s="23" t="s">
        <v>33</v>
      </c>
      <c r="E57" s="24">
        <v>3.567082455264583</v>
      </c>
      <c r="F57" s="24">
        <v>0.4925897496833293</v>
      </c>
      <c r="G57" s="23">
        <v>1</v>
      </c>
      <c r="H57" s="23"/>
    </row>
    <row r="58" spans="1:8" s="20" customFormat="1">
      <c r="A58" s="88"/>
      <c r="B58" s="20" t="s">
        <v>31</v>
      </c>
      <c r="C58" s="20" t="s">
        <v>5</v>
      </c>
      <c r="D58" s="20" t="s">
        <v>88</v>
      </c>
      <c r="E58" s="26">
        <v>1.524298732489622</v>
      </c>
      <c r="F58" s="26">
        <v>0.43081908626015342</v>
      </c>
      <c r="G58" s="20">
        <v>2</v>
      </c>
    </row>
    <row r="59" spans="1:8" s="20" customFormat="1">
      <c r="A59" s="88"/>
      <c r="B59" s="20" t="s">
        <v>31</v>
      </c>
      <c r="C59" s="20" t="s">
        <v>5</v>
      </c>
      <c r="D59" s="20" t="s">
        <v>37</v>
      </c>
      <c r="E59" s="26">
        <v>74.053665734145881</v>
      </c>
      <c r="F59" s="26">
        <v>0.31051315520194023</v>
      </c>
      <c r="G59" s="20">
        <v>3</v>
      </c>
    </row>
    <row r="60" spans="1:8" s="20" customFormat="1">
      <c r="A60" s="88"/>
      <c r="B60" s="20" t="s">
        <v>31</v>
      </c>
      <c r="C60" s="20" t="s">
        <v>5</v>
      </c>
      <c r="D60" s="20" t="s">
        <v>89</v>
      </c>
      <c r="E60" s="26">
        <v>7.1564137305252116</v>
      </c>
      <c r="F60" s="26">
        <v>0.1823557778856997</v>
      </c>
      <c r="G60" s="20">
        <v>4</v>
      </c>
    </row>
    <row r="61" spans="1:8" s="20" customFormat="1">
      <c r="A61" s="89"/>
      <c r="B61" s="28" t="s">
        <v>31</v>
      </c>
      <c r="C61" s="28" t="s">
        <v>5</v>
      </c>
      <c r="D61" s="28" t="s">
        <v>35</v>
      </c>
      <c r="E61" s="29">
        <v>32.197261117973717</v>
      </c>
      <c r="F61" s="29">
        <v>0.117400521851032</v>
      </c>
      <c r="G61" s="28">
        <v>5</v>
      </c>
      <c r="H61" s="28"/>
    </row>
    <row r="62" spans="1:8">
      <c r="A62" s="90"/>
      <c r="B62" s="9" t="s">
        <v>44</v>
      </c>
      <c r="C62" s="9" t="s">
        <v>5</v>
      </c>
      <c r="D62" s="9" t="s">
        <v>33</v>
      </c>
      <c r="E62" s="12">
        <v>18.39573357053489</v>
      </c>
      <c r="F62" s="12">
        <v>1.5565529223564347</v>
      </c>
      <c r="G62" s="9">
        <v>1</v>
      </c>
      <c r="H62" s="9"/>
    </row>
    <row r="63" spans="1:8">
      <c r="A63" s="91"/>
      <c r="B63" t="s">
        <v>44</v>
      </c>
      <c r="C63" t="s">
        <v>5</v>
      </c>
      <c r="D63" t="s">
        <v>46</v>
      </c>
      <c r="E63" s="10">
        <v>3.2224497869381081</v>
      </c>
      <c r="F63" s="10">
        <v>0.72368335076048174</v>
      </c>
      <c r="G63">
        <v>2</v>
      </c>
    </row>
    <row r="64" spans="1:8">
      <c r="A64" s="91"/>
      <c r="B64" t="s">
        <v>44</v>
      </c>
      <c r="C64" t="s">
        <v>5</v>
      </c>
      <c r="D64" t="s">
        <v>35</v>
      </c>
      <c r="E64" s="10">
        <v>213.93617279792443</v>
      </c>
      <c r="F64" s="10">
        <v>0.52557511433222714</v>
      </c>
      <c r="G64">
        <v>3</v>
      </c>
    </row>
    <row r="65" spans="1:8">
      <c r="A65" s="91"/>
      <c r="B65" t="s">
        <v>44</v>
      </c>
      <c r="C65" t="s">
        <v>5</v>
      </c>
      <c r="D65" t="s">
        <v>45</v>
      </c>
      <c r="E65" s="10">
        <v>17.27441150352605</v>
      </c>
      <c r="F65" s="10">
        <v>0.33434060518253328</v>
      </c>
      <c r="G65">
        <v>4</v>
      </c>
    </row>
    <row r="66" spans="1:8">
      <c r="A66" s="91"/>
      <c r="B66" t="s">
        <v>44</v>
      </c>
      <c r="C66" t="s">
        <v>5</v>
      </c>
      <c r="D66" t="s">
        <v>47</v>
      </c>
      <c r="E66" s="10">
        <v>42.007408642597809</v>
      </c>
      <c r="F66" s="10">
        <v>0.16109411189783487</v>
      </c>
      <c r="G66">
        <v>5</v>
      </c>
    </row>
    <row r="67" spans="1:8">
      <c r="A67" s="91"/>
      <c r="B67" t="s">
        <v>86</v>
      </c>
      <c r="C67" t="s">
        <v>5</v>
      </c>
      <c r="D67" t="s">
        <v>33</v>
      </c>
      <c r="E67" s="10">
        <v>17.24530596626682</v>
      </c>
      <c r="F67" s="10">
        <v>1.4031518046452698</v>
      </c>
      <c r="G67">
        <v>1</v>
      </c>
    </row>
    <row r="68" spans="1:8">
      <c r="A68" s="91"/>
      <c r="B68" t="s">
        <v>86</v>
      </c>
      <c r="C68" t="s">
        <v>5</v>
      </c>
      <c r="D68" t="s">
        <v>35</v>
      </c>
      <c r="E68" s="10">
        <v>219.48605660246366</v>
      </c>
      <c r="F68" s="10">
        <v>0.49147482899497502</v>
      </c>
      <c r="G68">
        <v>2</v>
      </c>
    </row>
    <row r="69" spans="1:8">
      <c r="A69" s="91"/>
      <c r="B69" t="s">
        <v>86</v>
      </c>
      <c r="C69" t="s">
        <v>5</v>
      </c>
      <c r="D69" t="s">
        <v>46</v>
      </c>
      <c r="E69" s="10">
        <v>3.1222913083175992</v>
      </c>
      <c r="F69" s="10">
        <v>0.48788591703703366</v>
      </c>
      <c r="G69">
        <v>3</v>
      </c>
    </row>
    <row r="70" spans="1:8">
      <c r="A70" s="91"/>
      <c r="B70" t="s">
        <v>86</v>
      </c>
      <c r="C70" t="s">
        <v>5</v>
      </c>
      <c r="D70" t="s">
        <v>45</v>
      </c>
      <c r="E70" s="10">
        <v>21.125525356094833</v>
      </c>
      <c r="F70" s="10">
        <v>0.3523804656329213</v>
      </c>
      <c r="G70">
        <v>4</v>
      </c>
    </row>
    <row r="71" spans="1:8">
      <c r="A71" s="92"/>
      <c r="B71" t="s">
        <v>86</v>
      </c>
      <c r="C71" s="6" t="s">
        <v>5</v>
      </c>
      <c r="D71" s="6" t="s">
        <v>47</v>
      </c>
      <c r="E71" s="11">
        <v>-89.834380656315304</v>
      </c>
      <c r="F71" s="11">
        <v>-0.30337285467223929</v>
      </c>
      <c r="G71" s="6">
        <v>5</v>
      </c>
      <c r="H71" s="6"/>
    </row>
    <row r="72" spans="1:8">
      <c r="B72"/>
    </row>
    <row r="73" spans="1:8">
      <c r="B73"/>
    </row>
    <row r="74" spans="1:8">
      <c r="B74"/>
    </row>
    <row r="75" spans="1:8">
      <c r="B75"/>
    </row>
    <row r="76" spans="1:8">
      <c r="B76"/>
    </row>
    <row r="77" spans="1:8">
      <c r="B77"/>
    </row>
    <row r="78" spans="1:8">
      <c r="B78"/>
    </row>
    <row r="79" spans="1:8">
      <c r="B79"/>
    </row>
    <row r="80" spans="1:8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</sheetData>
  <mergeCells count="5">
    <mergeCell ref="A2:A16"/>
    <mergeCell ref="A17:A41"/>
    <mergeCell ref="A42:A56"/>
    <mergeCell ref="A57:A61"/>
    <mergeCell ref="A62:A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0E99-FC03-4AD5-8C53-7E9102852914}">
  <dimension ref="A1:I71"/>
  <sheetViews>
    <sheetView workbookViewId="0">
      <selection activeCell="F72" sqref="F72"/>
    </sheetView>
  </sheetViews>
  <sheetFormatPr defaultRowHeight="14.25"/>
  <cols>
    <col min="1" max="1" width="16.375" style="7" customWidth="1"/>
    <col min="2" max="2" width="11.875" style="7" customWidth="1"/>
    <col min="3" max="4" width="9" style="7"/>
    <col min="5" max="5" width="12.25" style="7" customWidth="1"/>
    <col min="6" max="6" width="17.75" style="7" customWidth="1"/>
    <col min="7" max="7" width="11.625" style="7" customWidth="1"/>
    <col min="8" max="8" width="17.25" style="7" customWidth="1"/>
    <col min="9" max="9" width="9" style="7"/>
  </cols>
  <sheetData>
    <row r="1" spans="1:9">
      <c r="A1" s="8" t="s">
        <v>43</v>
      </c>
      <c r="B1" s="8" t="s">
        <v>38</v>
      </c>
      <c r="C1" s="8" t="s">
        <v>22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48</v>
      </c>
      <c r="I1" s="8"/>
    </row>
    <row r="2" spans="1:9" ht="14.25" customHeight="1">
      <c r="A2" s="93" t="s">
        <v>18</v>
      </c>
      <c r="B2" s="7" t="s">
        <v>24</v>
      </c>
      <c r="C2" s="7" t="s">
        <v>5</v>
      </c>
      <c r="D2" s="7" t="s">
        <v>33</v>
      </c>
      <c r="E2" s="7">
        <v>15.878721138865391</v>
      </c>
      <c r="F2" s="7">
        <v>1567.4806800590909</v>
      </c>
      <c r="G2" s="7">
        <v>1</v>
      </c>
      <c r="H2" s="13">
        <f>F2/(SUM(F2:F6))</f>
        <v>0.68054014183566847</v>
      </c>
    </row>
    <row r="3" spans="1:9" ht="14.25" customHeight="1">
      <c r="A3" s="93"/>
      <c r="B3" s="7" t="s">
        <v>24</v>
      </c>
      <c r="C3" s="7" t="s">
        <v>5</v>
      </c>
      <c r="D3" s="7" t="s">
        <v>35</v>
      </c>
      <c r="E3" s="7">
        <v>-10.89612386549844</v>
      </c>
      <c r="F3" s="7">
        <v>361.19959472439308</v>
      </c>
      <c r="G3" s="7">
        <v>2</v>
      </c>
      <c r="H3" s="13">
        <f>F3/(SUM(F2:F6))</f>
        <v>0.15681904507777272</v>
      </c>
    </row>
    <row r="4" spans="1:9" ht="14.25" customHeight="1">
      <c r="A4" s="93"/>
      <c r="B4" s="7" t="s">
        <v>24</v>
      </c>
      <c r="C4" s="7" t="s">
        <v>5</v>
      </c>
      <c r="D4" s="7" t="s">
        <v>89</v>
      </c>
      <c r="E4" s="7">
        <v>-26.324224382172972</v>
      </c>
      <c r="F4" s="7">
        <v>243.27824128629939</v>
      </c>
      <c r="G4" s="7">
        <v>3</v>
      </c>
      <c r="H4" s="13">
        <f>F4/(SUM(F2:F6))</f>
        <v>0.10562210490802913</v>
      </c>
    </row>
    <row r="5" spans="1:9" ht="14.25" customHeight="1">
      <c r="A5" s="93"/>
      <c r="B5" s="7" t="s">
        <v>24</v>
      </c>
      <c r="C5" s="7" t="s">
        <v>5</v>
      </c>
      <c r="D5" s="7" t="s">
        <v>88</v>
      </c>
      <c r="E5" s="7">
        <v>-7.1315674249111352</v>
      </c>
      <c r="F5" s="7">
        <v>86.016515527872471</v>
      </c>
      <c r="G5" s="7">
        <v>4</v>
      </c>
      <c r="H5" s="13">
        <f>F5/(SUM(F2:F6))</f>
        <v>3.7345080180089717E-2</v>
      </c>
    </row>
    <row r="6" spans="1:9" ht="14.25" customHeight="1">
      <c r="A6" s="93"/>
      <c r="B6" s="7" t="s">
        <v>24</v>
      </c>
      <c r="C6" s="7" t="s">
        <v>5</v>
      </c>
      <c r="D6" s="7" t="s">
        <v>37</v>
      </c>
      <c r="E6" s="7">
        <v>-8.1791202210068512</v>
      </c>
      <c r="F6" s="7">
        <v>45.314052615680737</v>
      </c>
      <c r="G6" s="7">
        <v>5</v>
      </c>
      <c r="H6" s="13">
        <f>F6/(SUM(F2:F6))</f>
        <v>1.9673627998440007E-2</v>
      </c>
    </row>
    <row r="7" spans="1:9" ht="14.25" customHeight="1">
      <c r="A7" s="93"/>
      <c r="B7" s="7" t="s">
        <v>25</v>
      </c>
      <c r="C7" s="7" t="s">
        <v>5</v>
      </c>
      <c r="D7" s="7" t="s">
        <v>33</v>
      </c>
      <c r="E7" s="7">
        <v>64.840679997045598</v>
      </c>
      <c r="F7" s="7">
        <v>1602.0714653924649</v>
      </c>
      <c r="G7" s="7">
        <v>1</v>
      </c>
      <c r="H7" s="13">
        <f>F7/(SUM(F7:F11))</f>
        <v>0.67462338010989553</v>
      </c>
    </row>
    <row r="8" spans="1:9" ht="14.25" customHeight="1">
      <c r="A8" s="93"/>
      <c r="B8" s="7" t="s">
        <v>25</v>
      </c>
      <c r="C8" s="7" t="s">
        <v>5</v>
      </c>
      <c r="D8" s="7" t="s">
        <v>35</v>
      </c>
      <c r="E8" s="7">
        <v>-31.073260129544821</v>
      </c>
      <c r="F8" s="7">
        <v>364.99040962530569</v>
      </c>
      <c r="G8" s="7">
        <v>2</v>
      </c>
      <c r="H8" s="13">
        <f>F8/(SUM(F7:F11))</f>
        <v>0.15369543067718205</v>
      </c>
    </row>
    <row r="9" spans="1:9" ht="14.25" customHeight="1">
      <c r="A9" s="93"/>
      <c r="B9" s="7" t="s">
        <v>25</v>
      </c>
      <c r="C9" s="7" t="s">
        <v>5</v>
      </c>
      <c r="D9" s="7" t="s">
        <v>89</v>
      </c>
      <c r="E9" s="7">
        <v>-20.143598032442679</v>
      </c>
      <c r="F9" s="7">
        <v>248.25408972747161</v>
      </c>
      <c r="G9" s="7">
        <v>3</v>
      </c>
      <c r="H9" s="13">
        <f>F9/(SUM(F7:F11))</f>
        <v>0.10453841589209288</v>
      </c>
    </row>
    <row r="10" spans="1:9" ht="14.25" customHeight="1">
      <c r="A10" s="93"/>
      <c r="B10" s="7" t="s">
        <v>25</v>
      </c>
      <c r="C10" s="7" t="s">
        <v>5</v>
      </c>
      <c r="D10" s="7" t="s">
        <v>88</v>
      </c>
      <c r="E10" s="7">
        <v>1.160111464118994</v>
      </c>
      <c r="F10" s="7">
        <v>118.26785356729791</v>
      </c>
      <c r="G10" s="7">
        <v>4</v>
      </c>
      <c r="H10" s="13">
        <f>F10/(SUM(F7:F11))</f>
        <v>4.9801935091807636E-2</v>
      </c>
    </row>
    <row r="11" spans="1:9" ht="14.25" customHeight="1">
      <c r="A11" s="93"/>
      <c r="B11" s="7" t="s">
        <v>25</v>
      </c>
      <c r="C11" s="7" t="s">
        <v>5</v>
      </c>
      <c r="D11" s="7" t="s">
        <v>37</v>
      </c>
      <c r="E11" s="7">
        <v>-8.0566150532075831</v>
      </c>
      <c r="F11" s="7">
        <v>41.180402179623989</v>
      </c>
      <c r="G11" s="7">
        <v>5</v>
      </c>
      <c r="H11" s="13">
        <f>F11/(SUM(F7:F11))</f>
        <v>1.7340838229021934E-2</v>
      </c>
    </row>
    <row r="12" spans="1:9" ht="14.25" customHeight="1">
      <c r="A12" s="93"/>
      <c r="B12" s="7" t="s">
        <v>26</v>
      </c>
      <c r="C12" s="7" t="s">
        <v>5</v>
      </c>
      <c r="D12" s="7" t="s">
        <v>33</v>
      </c>
      <c r="E12" s="7">
        <v>82.294303230022862</v>
      </c>
      <c r="F12" s="7">
        <v>1507.046700210801</v>
      </c>
      <c r="G12" s="7">
        <v>1</v>
      </c>
      <c r="H12" s="13">
        <f>F12/(SUM(F12:F16))</f>
        <v>0.60534735164541575</v>
      </c>
    </row>
    <row r="13" spans="1:9" ht="14.25" customHeight="1">
      <c r="A13" s="93"/>
      <c r="B13" s="7" t="s">
        <v>26</v>
      </c>
      <c r="C13" s="7" t="s">
        <v>5</v>
      </c>
      <c r="D13" s="7" t="s">
        <v>35</v>
      </c>
      <c r="E13" s="7">
        <v>-29.268099516904989</v>
      </c>
      <c r="F13" s="7">
        <v>495.98632933702658</v>
      </c>
      <c r="G13" s="7">
        <v>2</v>
      </c>
      <c r="H13" s="13">
        <f>F13/(SUM(F12:F16))</f>
        <v>0.19922674650659655</v>
      </c>
    </row>
    <row r="14" spans="1:9" ht="14.25" customHeight="1">
      <c r="A14" s="93"/>
      <c r="B14" s="7" t="s">
        <v>26</v>
      </c>
      <c r="C14" s="7" t="s">
        <v>5</v>
      </c>
      <c r="D14" s="7" t="s">
        <v>89</v>
      </c>
      <c r="E14" s="7">
        <v>-35.214751896136953</v>
      </c>
      <c r="F14" s="7">
        <v>318.50965184934</v>
      </c>
      <c r="G14" s="7">
        <v>3</v>
      </c>
      <c r="H14" s="13">
        <f>F14/(SUM(F12:F16))</f>
        <v>0.12793828764133977</v>
      </c>
    </row>
    <row r="15" spans="1:9" ht="14.25" customHeight="1">
      <c r="A15" s="93"/>
      <c r="B15" s="7" t="s">
        <v>26</v>
      </c>
      <c r="C15" s="7" t="s">
        <v>5</v>
      </c>
      <c r="D15" s="7" t="s">
        <v>88</v>
      </c>
      <c r="E15" s="7">
        <v>-7.7553639073104863</v>
      </c>
      <c r="F15" s="7">
        <v>108.2528962210113</v>
      </c>
      <c r="G15" s="7">
        <v>4</v>
      </c>
      <c r="H15" s="13">
        <f>F15/(SUM(F12:F16))</f>
        <v>4.348279587233031E-2</v>
      </c>
    </row>
    <row r="16" spans="1:9" ht="14.25" customHeight="1">
      <c r="A16" s="94"/>
      <c r="B16" s="8" t="s">
        <v>26</v>
      </c>
      <c r="C16" s="8" t="s">
        <v>5</v>
      </c>
      <c r="D16" s="8" t="s">
        <v>37</v>
      </c>
      <c r="E16" s="8">
        <v>-13.26396625676982</v>
      </c>
      <c r="F16" s="8">
        <v>59.761362070157993</v>
      </c>
      <c r="G16" s="8">
        <v>5</v>
      </c>
      <c r="H16" s="14">
        <f>F16/(SUM(F12:F16))</f>
        <v>2.4004818334317515E-2</v>
      </c>
      <c r="I16" s="8"/>
    </row>
    <row r="17" spans="1:9" s="20" customFormat="1">
      <c r="A17" s="84" t="s">
        <v>17</v>
      </c>
      <c r="B17" s="22" t="s">
        <v>7</v>
      </c>
      <c r="C17" s="22" t="s">
        <v>5</v>
      </c>
      <c r="D17" s="22" t="s">
        <v>33</v>
      </c>
      <c r="E17" s="22">
        <v>-2.0283110568562541E-2</v>
      </c>
      <c r="F17" s="22">
        <v>0.51820546746249208</v>
      </c>
      <c r="G17" s="22">
        <v>1</v>
      </c>
      <c r="H17" s="30">
        <f>F17/(SUM(F17:F21))</f>
        <v>0.49427581495922102</v>
      </c>
      <c r="I17" s="22"/>
    </row>
    <row r="18" spans="1:9" s="20" customFormat="1">
      <c r="A18" s="85"/>
      <c r="B18" s="25" t="s">
        <v>7</v>
      </c>
      <c r="C18" s="25" t="s">
        <v>5</v>
      </c>
      <c r="D18" s="25" t="s">
        <v>35</v>
      </c>
      <c r="E18" s="25">
        <v>-1.9451699896449039E-2</v>
      </c>
      <c r="F18" s="25">
        <v>0.2436143060749974</v>
      </c>
      <c r="G18" s="25">
        <v>2</v>
      </c>
      <c r="H18" s="31">
        <f>F18/(SUM(F17:F21))</f>
        <v>0.23236470325288486</v>
      </c>
      <c r="I18" s="25"/>
    </row>
    <row r="19" spans="1:9" s="20" customFormat="1">
      <c r="A19" s="85"/>
      <c r="B19" s="25" t="s">
        <v>7</v>
      </c>
      <c r="C19" s="25" t="s">
        <v>5</v>
      </c>
      <c r="D19" s="25" t="s">
        <v>89</v>
      </c>
      <c r="E19" s="25">
        <v>-9.8273445028553372E-3</v>
      </c>
      <c r="F19" s="25">
        <v>0.16534052473018179</v>
      </c>
      <c r="G19" s="25">
        <v>3</v>
      </c>
      <c r="H19" s="31">
        <f>F19/(SUM(F17:F21))</f>
        <v>0.15770544260556466</v>
      </c>
      <c r="I19" s="25"/>
    </row>
    <row r="20" spans="1:9" s="20" customFormat="1">
      <c r="A20" s="85"/>
      <c r="B20" s="25" t="s">
        <v>7</v>
      </c>
      <c r="C20" s="25" t="s">
        <v>5</v>
      </c>
      <c r="D20" s="25" t="s">
        <v>88</v>
      </c>
      <c r="E20" s="25">
        <v>-6.4479917279493728E-3</v>
      </c>
      <c r="F20" s="25">
        <v>7.1883802251246812E-2</v>
      </c>
      <c r="G20" s="25">
        <v>4</v>
      </c>
      <c r="H20" s="31">
        <f>F20/(SUM(F17:F21))</f>
        <v>6.8564357520357916E-2</v>
      </c>
      <c r="I20" s="25"/>
    </row>
    <row r="21" spans="1:9" s="20" customFormat="1">
      <c r="A21" s="85"/>
      <c r="B21" s="25" t="s">
        <v>7</v>
      </c>
      <c r="C21" s="25" t="s">
        <v>5</v>
      </c>
      <c r="D21" s="25" t="s">
        <v>37</v>
      </c>
      <c r="E21" s="25">
        <v>1.311356005210919E-3</v>
      </c>
      <c r="F21" s="25">
        <v>4.9369460855201261E-2</v>
      </c>
      <c r="G21" s="25">
        <v>5</v>
      </c>
      <c r="H21" s="31">
        <f>F21/(SUM(F17:F21))</f>
        <v>4.7089681661971659E-2</v>
      </c>
      <c r="I21" s="25"/>
    </row>
    <row r="22" spans="1:9" s="20" customFormat="1">
      <c r="A22" s="85"/>
      <c r="B22" s="25" t="s">
        <v>6</v>
      </c>
      <c r="C22" s="25" t="s">
        <v>5</v>
      </c>
      <c r="D22" s="25" t="s">
        <v>33</v>
      </c>
      <c r="E22" s="25">
        <v>-2.28522230844493E-2</v>
      </c>
      <c r="F22" s="25">
        <v>0.51865465821392942</v>
      </c>
      <c r="G22" s="25">
        <v>1</v>
      </c>
      <c r="H22" s="31">
        <f>F22/(SUM(F22:F26))</f>
        <v>0.5065057034953766</v>
      </c>
      <c r="I22" s="25"/>
    </row>
    <row r="23" spans="1:9" s="20" customFormat="1">
      <c r="A23" s="85"/>
      <c r="B23" s="25" t="s">
        <v>6</v>
      </c>
      <c r="C23" s="25" t="s">
        <v>5</v>
      </c>
      <c r="D23" s="25" t="s">
        <v>35</v>
      </c>
      <c r="E23" s="25">
        <v>-1.5841691231171628E-2</v>
      </c>
      <c r="F23" s="25">
        <v>0.2267209818696182</v>
      </c>
      <c r="G23" s="25">
        <v>2</v>
      </c>
      <c r="H23" s="31">
        <f>F23/(SUM(F22:F26))</f>
        <v>0.22141027483390943</v>
      </c>
      <c r="I23" s="25"/>
    </row>
    <row r="24" spans="1:9" s="20" customFormat="1">
      <c r="A24" s="85"/>
      <c r="B24" s="25" t="s">
        <v>6</v>
      </c>
      <c r="C24" s="25" t="s">
        <v>5</v>
      </c>
      <c r="D24" s="25" t="s">
        <v>89</v>
      </c>
      <c r="E24" s="25">
        <v>-8.2797940338847596E-3</v>
      </c>
      <c r="F24" s="25">
        <v>0.1681101823773215</v>
      </c>
      <c r="G24" s="25">
        <v>3</v>
      </c>
      <c r="H24" s="31">
        <f>F24/(SUM(F22:F26))</f>
        <v>0.16417237335336912</v>
      </c>
      <c r="I24" s="25"/>
    </row>
    <row r="25" spans="1:9" s="20" customFormat="1">
      <c r="A25" s="85"/>
      <c r="B25" s="25" t="s">
        <v>6</v>
      </c>
      <c r="C25" s="25" t="s">
        <v>5</v>
      </c>
      <c r="D25" s="25" t="s">
        <v>88</v>
      </c>
      <c r="E25" s="25">
        <v>-2.768509895849024E-3</v>
      </c>
      <c r="F25" s="25">
        <v>6.7104483040618196E-2</v>
      </c>
      <c r="G25" s="25">
        <v>4</v>
      </c>
      <c r="H25" s="31">
        <f>F25/(SUM(F22:F26))</f>
        <v>6.5532629181867919E-2</v>
      </c>
      <c r="I25" s="25"/>
    </row>
    <row r="26" spans="1:9" s="20" customFormat="1">
      <c r="A26" s="85"/>
      <c r="B26" s="25" t="s">
        <v>6</v>
      </c>
      <c r="C26" s="25" t="s">
        <v>5</v>
      </c>
      <c r="D26" s="25" t="s">
        <v>37</v>
      </c>
      <c r="E26" s="25">
        <v>-1.9683756953105629E-4</v>
      </c>
      <c r="F26" s="25">
        <v>4.3395514667394178E-2</v>
      </c>
      <c r="G26" s="25">
        <v>5</v>
      </c>
      <c r="H26" s="31">
        <f>F26/(SUM(F22:F26))</f>
        <v>4.2379019135477043E-2</v>
      </c>
      <c r="I26" s="25"/>
    </row>
    <row r="27" spans="1:9" s="20" customFormat="1">
      <c r="A27" s="85"/>
      <c r="B27" s="25" t="s">
        <v>8</v>
      </c>
      <c r="C27" s="25" t="s">
        <v>5</v>
      </c>
      <c r="D27" s="25" t="s">
        <v>33</v>
      </c>
      <c r="E27" s="25">
        <v>-1.445276229762797E-2</v>
      </c>
      <c r="F27" s="25">
        <v>0.51671901937293541</v>
      </c>
      <c r="G27" s="25">
        <v>1</v>
      </c>
      <c r="H27" s="31">
        <f>F27/(SUM(F27:F31))</f>
        <v>0.48539081076617213</v>
      </c>
      <c r="I27" s="25"/>
    </row>
    <row r="28" spans="1:9" s="20" customFormat="1">
      <c r="A28" s="85"/>
      <c r="B28" s="25" t="s">
        <v>8</v>
      </c>
      <c r="C28" s="25" t="s">
        <v>5</v>
      </c>
      <c r="D28" s="25" t="s">
        <v>35</v>
      </c>
      <c r="E28" s="25">
        <v>-1.9411932191621208E-2</v>
      </c>
      <c r="F28" s="25">
        <v>0.24662088292426651</v>
      </c>
      <c r="G28" s="25">
        <v>2</v>
      </c>
      <c r="H28" s="31">
        <f>F28/(SUM(F27:F31))</f>
        <v>0.2316684809855655</v>
      </c>
      <c r="I28" s="25"/>
    </row>
    <row r="29" spans="1:9" s="20" customFormat="1">
      <c r="A29" s="85"/>
      <c r="B29" s="25" t="s">
        <v>8</v>
      </c>
      <c r="C29" s="25" t="s">
        <v>5</v>
      </c>
      <c r="D29" s="25" t="s">
        <v>89</v>
      </c>
      <c r="E29" s="25">
        <v>-1.3232813427183861E-2</v>
      </c>
      <c r="F29" s="25">
        <v>0.18261607444761471</v>
      </c>
      <c r="G29" s="25">
        <v>3</v>
      </c>
      <c r="H29" s="31">
        <f>F29/(SUM(F27:F31))</f>
        <v>0.17154422638174355</v>
      </c>
      <c r="I29" s="25"/>
    </row>
    <row r="30" spans="1:9" s="20" customFormat="1">
      <c r="A30" s="85"/>
      <c r="B30" s="25" t="s">
        <v>8</v>
      </c>
      <c r="C30" s="25" t="s">
        <v>5</v>
      </c>
      <c r="D30" s="25" t="s">
        <v>88</v>
      </c>
      <c r="E30" s="25">
        <v>-1.3574026486591121E-3</v>
      </c>
      <c r="F30" s="25">
        <v>6.5476680008671018E-2</v>
      </c>
      <c r="G30" s="25">
        <v>4</v>
      </c>
      <c r="H30" s="31">
        <f>F30/(SUM(F27:F31))</f>
        <v>6.1506887890936994E-2</v>
      </c>
      <c r="I30" s="25"/>
    </row>
    <row r="31" spans="1:9" s="20" customFormat="1">
      <c r="A31" s="85"/>
      <c r="B31" s="25" t="s">
        <v>8</v>
      </c>
      <c r="C31" s="25" t="s">
        <v>5</v>
      </c>
      <c r="D31" s="25" t="s">
        <v>37</v>
      </c>
      <c r="E31" s="25">
        <v>-7.3935072297253122E-3</v>
      </c>
      <c r="F31" s="25">
        <v>5.3109579959466927E-2</v>
      </c>
      <c r="G31" s="25">
        <v>5</v>
      </c>
      <c r="H31" s="31">
        <f>F31/(SUM(F27:F31))</f>
        <v>4.9889593975581736E-2</v>
      </c>
      <c r="I31" s="25"/>
    </row>
    <row r="32" spans="1:9" s="20" customFormat="1">
      <c r="A32" s="85"/>
      <c r="B32" s="25" t="s">
        <v>9</v>
      </c>
      <c r="C32" s="25" t="s">
        <v>5</v>
      </c>
      <c r="D32" s="25" t="s">
        <v>33</v>
      </c>
      <c r="E32" s="25">
        <v>-2.7734087545813971E-3</v>
      </c>
      <c r="F32" s="25">
        <v>0.51789323987782576</v>
      </c>
      <c r="G32" s="25">
        <v>1</v>
      </c>
      <c r="H32" s="31">
        <f>F32/(SUM(F32:F36))</f>
        <v>0.59595026669667706</v>
      </c>
      <c r="I32" s="25"/>
    </row>
    <row r="33" spans="1:9" s="20" customFormat="1">
      <c r="A33" s="85"/>
      <c r="B33" s="25" t="s">
        <v>9</v>
      </c>
      <c r="C33" s="25" t="s">
        <v>5</v>
      </c>
      <c r="D33" s="25" t="s">
        <v>35</v>
      </c>
      <c r="E33" s="25">
        <v>-1.2609160994237501E-2</v>
      </c>
      <c r="F33" s="25">
        <v>0.15452459919880929</v>
      </c>
      <c r="G33" s="25">
        <v>2</v>
      </c>
      <c r="H33" s="31">
        <f>F33/(SUM(F32:F36))</f>
        <v>0.17781459384457671</v>
      </c>
      <c r="I33" s="25"/>
    </row>
    <row r="34" spans="1:9" s="20" customFormat="1">
      <c r="A34" s="85"/>
      <c r="B34" s="25" t="s">
        <v>9</v>
      </c>
      <c r="C34" s="25" t="s">
        <v>5</v>
      </c>
      <c r="D34" s="25" t="s">
        <v>89</v>
      </c>
      <c r="E34" s="25">
        <v>1.3859087762901571E-3</v>
      </c>
      <c r="F34" s="25">
        <v>0.12028199880186261</v>
      </c>
      <c r="G34" s="25">
        <v>3</v>
      </c>
      <c r="H34" s="31">
        <f>F34/(SUM(F32:F36))</f>
        <v>0.13841093828853543</v>
      </c>
      <c r="I34" s="25"/>
    </row>
    <row r="35" spans="1:9" s="20" customFormat="1">
      <c r="A35" s="85"/>
      <c r="B35" s="25" t="s">
        <v>9</v>
      </c>
      <c r="C35" s="25" t="s">
        <v>5</v>
      </c>
      <c r="D35" s="25" t="s">
        <v>88</v>
      </c>
      <c r="E35" s="25">
        <v>-3.709683799525936E-3</v>
      </c>
      <c r="F35" s="25">
        <v>4.7452335925439799E-2</v>
      </c>
      <c r="G35" s="25">
        <v>4</v>
      </c>
      <c r="H35" s="31">
        <f>F35/(SUM(F32:F36))</f>
        <v>5.4604366445905737E-2</v>
      </c>
      <c r="I35" s="25"/>
    </row>
    <row r="36" spans="1:9" s="20" customFormat="1">
      <c r="A36" s="85"/>
      <c r="B36" s="25" t="s">
        <v>9</v>
      </c>
      <c r="C36" s="25" t="s">
        <v>5</v>
      </c>
      <c r="D36" s="25" t="s">
        <v>37</v>
      </c>
      <c r="E36" s="25">
        <v>5.1711640681004357E-3</v>
      </c>
      <c r="F36" s="25">
        <v>2.8868730823695891E-2</v>
      </c>
      <c r="G36" s="25">
        <v>5</v>
      </c>
      <c r="H36" s="31">
        <f>F36/(SUM(F32:F36))</f>
        <v>3.321983472430487E-2</v>
      </c>
      <c r="I36" s="25"/>
    </row>
    <row r="37" spans="1:9" s="20" customFormat="1">
      <c r="A37" s="85"/>
      <c r="B37" s="25" t="s">
        <v>10</v>
      </c>
      <c r="C37" s="25" t="s">
        <v>5</v>
      </c>
      <c r="D37" s="25" t="s">
        <v>33</v>
      </c>
      <c r="E37" s="25">
        <v>1.9397420175632091E-3</v>
      </c>
      <c r="F37" s="25">
        <v>0.53046226524766982</v>
      </c>
      <c r="G37" s="25">
        <v>1</v>
      </c>
      <c r="H37" s="31">
        <f>F37/(SUM(F37:F41))</f>
        <v>0.53293214494451224</v>
      </c>
      <c r="I37" s="25"/>
    </row>
    <row r="38" spans="1:9" s="20" customFormat="1">
      <c r="A38" s="85"/>
      <c r="B38" s="25" t="s">
        <v>10</v>
      </c>
      <c r="C38" s="25" t="s">
        <v>5</v>
      </c>
      <c r="D38" s="25" t="s">
        <v>35</v>
      </c>
      <c r="E38" s="25">
        <v>-1.353850059058543E-2</v>
      </c>
      <c r="F38" s="25">
        <v>0.20593319560069939</v>
      </c>
      <c r="G38" s="25">
        <v>2</v>
      </c>
      <c r="H38" s="31">
        <f>F38/(SUM(F37:F41))</f>
        <v>0.20689203895684757</v>
      </c>
      <c r="I38" s="25"/>
    </row>
    <row r="39" spans="1:9" s="20" customFormat="1">
      <c r="A39" s="85"/>
      <c r="B39" s="25" t="s">
        <v>10</v>
      </c>
      <c r="C39" s="25" t="s">
        <v>5</v>
      </c>
      <c r="D39" s="25" t="s">
        <v>89</v>
      </c>
      <c r="E39" s="25">
        <v>5.756677051503822E-3</v>
      </c>
      <c r="F39" s="25">
        <v>0.1557131720103436</v>
      </c>
      <c r="G39" s="25">
        <v>3</v>
      </c>
      <c r="H39" s="31">
        <f>F39/(SUM(F37:F41))</f>
        <v>0.15643818645015434</v>
      </c>
      <c r="I39" s="25"/>
    </row>
    <row r="40" spans="1:9" s="20" customFormat="1">
      <c r="A40" s="85"/>
      <c r="B40" s="25" t="s">
        <v>10</v>
      </c>
      <c r="C40" s="25" t="s">
        <v>5</v>
      </c>
      <c r="D40" s="25" t="s">
        <v>88</v>
      </c>
      <c r="E40" s="25">
        <v>-6.3813720344311278E-3</v>
      </c>
      <c r="F40" s="25">
        <v>7.1333711425641308E-2</v>
      </c>
      <c r="G40" s="25">
        <v>4</v>
      </c>
      <c r="H40" s="31">
        <f>F40/(SUM(F37:F41))</f>
        <v>7.1665847558771048E-2</v>
      </c>
      <c r="I40" s="25"/>
    </row>
    <row r="41" spans="1:9" s="20" customFormat="1">
      <c r="A41" s="86"/>
      <c r="B41" s="27" t="s">
        <v>10</v>
      </c>
      <c r="C41" s="27" t="s">
        <v>5</v>
      </c>
      <c r="D41" s="27" t="s">
        <v>37</v>
      </c>
      <c r="E41" s="27">
        <v>6.2491237642707645E-5</v>
      </c>
      <c r="F41" s="27">
        <v>3.1923145074334303E-2</v>
      </c>
      <c r="G41" s="27">
        <v>5</v>
      </c>
      <c r="H41" s="32">
        <f>F41/(SUM(F37:F41))</f>
        <v>3.2071782089714916E-2</v>
      </c>
      <c r="I41" s="27"/>
    </row>
    <row r="42" spans="1:9" s="20" customFormat="1">
      <c r="A42" s="84" t="s">
        <v>16</v>
      </c>
      <c r="B42" s="22" t="s">
        <v>23</v>
      </c>
      <c r="C42" s="22" t="s">
        <v>5</v>
      </c>
      <c r="D42" s="22" t="s">
        <v>33</v>
      </c>
      <c r="E42" s="22">
        <v>-256.89960589933389</v>
      </c>
      <c r="F42" s="22">
        <v>1981.0700759435431</v>
      </c>
      <c r="G42" s="22">
        <v>1</v>
      </c>
      <c r="H42" s="30">
        <f>F42/(SUM(F42:F46))</f>
        <v>0.63347833234928619</v>
      </c>
      <c r="I42" s="22"/>
    </row>
    <row r="43" spans="1:9" s="20" customFormat="1">
      <c r="A43" s="85"/>
      <c r="B43" s="25" t="s">
        <v>23</v>
      </c>
      <c r="C43" s="25" t="s">
        <v>5</v>
      </c>
      <c r="D43" s="25" t="s">
        <v>35</v>
      </c>
      <c r="E43" s="25">
        <v>-73.740227538495702</v>
      </c>
      <c r="F43" s="25">
        <v>510.6014914597904</v>
      </c>
      <c r="G43" s="25">
        <v>2</v>
      </c>
      <c r="H43" s="31">
        <f>F43/(SUM(F42:F46))</f>
        <v>0.16327286209244835</v>
      </c>
      <c r="I43" s="25"/>
    </row>
    <row r="44" spans="1:9" s="20" customFormat="1">
      <c r="A44" s="85"/>
      <c r="B44" s="25" t="s">
        <v>23</v>
      </c>
      <c r="C44" s="25" t="s">
        <v>5</v>
      </c>
      <c r="D44" s="25" t="s">
        <v>89</v>
      </c>
      <c r="E44" s="25">
        <v>10.720921894214131</v>
      </c>
      <c r="F44" s="25">
        <v>347.3338734300329</v>
      </c>
      <c r="G44" s="25">
        <v>3</v>
      </c>
      <c r="H44" s="31">
        <f>F44/(SUM(F42:F46))</f>
        <v>0.11106547192889187</v>
      </c>
      <c r="I44" s="25"/>
    </row>
    <row r="45" spans="1:9" s="20" customFormat="1">
      <c r="A45" s="85"/>
      <c r="B45" s="25" t="s">
        <v>23</v>
      </c>
      <c r="C45" s="25" t="s">
        <v>5</v>
      </c>
      <c r="D45" s="25" t="s">
        <v>88</v>
      </c>
      <c r="E45" s="25">
        <v>-36.422285814034161</v>
      </c>
      <c r="F45" s="25">
        <v>213.94944148107911</v>
      </c>
      <c r="G45" s="25">
        <v>4</v>
      </c>
      <c r="H45" s="31">
        <f>F45/(SUM(F42:F46))</f>
        <v>6.8413700778325023E-2</v>
      </c>
      <c r="I45" s="25"/>
    </row>
    <row r="46" spans="1:9" s="20" customFormat="1">
      <c r="A46" s="85"/>
      <c r="B46" s="25" t="s">
        <v>23</v>
      </c>
      <c r="C46" s="25" t="s">
        <v>5</v>
      </c>
      <c r="D46" s="25" t="s">
        <v>37</v>
      </c>
      <c r="E46" s="25">
        <v>-6.2156471594060516</v>
      </c>
      <c r="F46" s="25">
        <v>74.334520934194984</v>
      </c>
      <c r="G46" s="25">
        <v>5</v>
      </c>
      <c r="H46" s="31">
        <f>F46/(SUM(F42:F46))</f>
        <v>2.3769632851048574E-2</v>
      </c>
      <c r="I46" s="25"/>
    </row>
    <row r="47" spans="1:9" s="20" customFormat="1">
      <c r="A47" s="85"/>
      <c r="B47" s="25" t="s">
        <v>11</v>
      </c>
      <c r="C47" s="25" t="s">
        <v>5</v>
      </c>
      <c r="D47" s="25" t="s">
        <v>33</v>
      </c>
      <c r="E47" s="25">
        <v>-256.89955849545902</v>
      </c>
      <c r="F47" s="25">
        <v>1981.069710390635</v>
      </c>
      <c r="G47" s="25">
        <v>1</v>
      </c>
      <c r="H47" s="31">
        <f>F47/(SUM(F47:F51))</f>
        <v>0.63347832509248103</v>
      </c>
      <c r="I47" s="25"/>
    </row>
    <row r="48" spans="1:9" s="20" customFormat="1">
      <c r="A48" s="85"/>
      <c r="B48" s="25" t="s">
        <v>11</v>
      </c>
      <c r="C48" s="25" t="s">
        <v>5</v>
      </c>
      <c r="D48" s="25" t="s">
        <v>35</v>
      </c>
      <c r="E48" s="25">
        <v>-73.740239798540856</v>
      </c>
      <c r="F48" s="25">
        <v>510.60157635235919</v>
      </c>
      <c r="G48" s="25">
        <v>2</v>
      </c>
      <c r="H48" s="31">
        <f>F48/(SUM(F47:F51))</f>
        <v>0.16327291749541362</v>
      </c>
      <c r="I48" s="25"/>
    </row>
    <row r="49" spans="1:9" s="20" customFormat="1">
      <c r="A49" s="85"/>
      <c r="B49" s="25" t="s">
        <v>11</v>
      </c>
      <c r="C49" s="25" t="s">
        <v>5</v>
      </c>
      <c r="D49" s="25" t="s">
        <v>89</v>
      </c>
      <c r="E49" s="25">
        <v>10.720919502364669</v>
      </c>
      <c r="F49" s="25">
        <v>347.33379593946398</v>
      </c>
      <c r="G49" s="25">
        <v>3</v>
      </c>
      <c r="H49" s="31">
        <f>F49/(SUM(F47:F51))</f>
        <v>0.11106546637188208</v>
      </c>
      <c r="I49" s="25"/>
    </row>
    <row r="50" spans="1:9" s="20" customFormat="1">
      <c r="A50" s="85"/>
      <c r="B50" s="25" t="s">
        <v>11</v>
      </c>
      <c r="C50" s="25" t="s">
        <v>5</v>
      </c>
      <c r="D50" s="25" t="s">
        <v>88</v>
      </c>
      <c r="E50" s="25">
        <v>-36.422277490582303</v>
      </c>
      <c r="F50" s="25">
        <v>213.94939258799519</v>
      </c>
      <c r="G50" s="25">
        <v>4</v>
      </c>
      <c r="H50" s="31">
        <f>F50/(SUM(F47:F51))</f>
        <v>6.8413696984177347E-2</v>
      </c>
      <c r="I50" s="25"/>
    </row>
    <row r="51" spans="1:9" s="20" customFormat="1">
      <c r="A51" s="85"/>
      <c r="B51" s="25" t="s">
        <v>11</v>
      </c>
      <c r="C51" s="25" t="s">
        <v>5</v>
      </c>
      <c r="D51" s="25" t="s">
        <v>37</v>
      </c>
      <c r="E51" s="25">
        <v>-6.215635938970836</v>
      </c>
      <c r="F51" s="25">
        <v>74.334386746128132</v>
      </c>
      <c r="G51" s="25">
        <v>5</v>
      </c>
      <c r="H51" s="31">
        <f>F51/(SUM(F47:F51))</f>
        <v>2.3769594056045982E-2</v>
      </c>
      <c r="I51" s="25"/>
    </row>
    <row r="52" spans="1:9" s="20" customFormat="1">
      <c r="A52" s="85"/>
      <c r="B52" s="25" t="s">
        <v>12</v>
      </c>
      <c r="C52" s="25" t="s">
        <v>5</v>
      </c>
      <c r="D52" s="25" t="s">
        <v>33</v>
      </c>
      <c r="E52" s="25">
        <v>-256.89856493390732</v>
      </c>
      <c r="F52" s="25">
        <v>1981.06204858418</v>
      </c>
      <c r="G52" s="25">
        <v>1</v>
      </c>
      <c r="H52" s="31">
        <f>F52/(SUM(F52:F56))</f>
        <v>0.63349205081617033</v>
      </c>
      <c r="I52" s="25"/>
    </row>
    <row r="53" spans="1:9" s="20" customFormat="1">
      <c r="A53" s="85"/>
      <c r="B53" s="25" t="s">
        <v>12</v>
      </c>
      <c r="C53" s="25" t="s">
        <v>5</v>
      </c>
      <c r="D53" s="25" t="s">
        <v>35</v>
      </c>
      <c r="E53" s="25">
        <v>-73.738387021190405</v>
      </c>
      <c r="F53" s="25">
        <v>510.58874711504791</v>
      </c>
      <c r="G53" s="25">
        <v>2</v>
      </c>
      <c r="H53" s="31">
        <f>F53/(SUM(F52:F56))</f>
        <v>0.16327298418781774</v>
      </c>
      <c r="I53" s="25"/>
    </row>
    <row r="54" spans="1:9" s="20" customFormat="1">
      <c r="A54" s="85"/>
      <c r="B54" s="25" t="s">
        <v>12</v>
      </c>
      <c r="C54" s="25" t="s">
        <v>5</v>
      </c>
      <c r="D54" s="25" t="s">
        <v>89</v>
      </c>
      <c r="E54" s="25">
        <v>10.72038999418181</v>
      </c>
      <c r="F54" s="25">
        <v>347.31664105950313</v>
      </c>
      <c r="G54" s="25">
        <v>3</v>
      </c>
      <c r="H54" s="31">
        <f>F54/(SUM(F52:F56))</f>
        <v>0.11106281672732729</v>
      </c>
      <c r="I54" s="25"/>
    </row>
    <row r="55" spans="1:9" s="20" customFormat="1">
      <c r="A55" s="85"/>
      <c r="B55" s="25" t="s">
        <v>12</v>
      </c>
      <c r="C55" s="25" t="s">
        <v>5</v>
      </c>
      <c r="D55" s="25" t="s">
        <v>88</v>
      </c>
      <c r="E55" s="25">
        <v>-36.419907320744777</v>
      </c>
      <c r="F55" s="25">
        <v>213.93546988925141</v>
      </c>
      <c r="G55" s="25">
        <v>4</v>
      </c>
      <c r="H55" s="31">
        <f>F55/(SUM(F52:F56))</f>
        <v>6.8410991800746765E-2</v>
      </c>
      <c r="I55" s="25"/>
    </row>
    <row r="56" spans="1:9" s="20" customFormat="1">
      <c r="A56" s="86"/>
      <c r="B56" s="27" t="s">
        <v>12</v>
      </c>
      <c r="C56" s="27" t="s">
        <v>5</v>
      </c>
      <c r="D56" s="27" t="s">
        <v>37</v>
      </c>
      <c r="E56" s="27">
        <v>-6.2132708948599049</v>
      </c>
      <c r="F56" s="27">
        <v>74.306102576118874</v>
      </c>
      <c r="G56" s="27">
        <v>5</v>
      </c>
      <c r="H56" s="32">
        <f>F56/(SUM(F52:F56))</f>
        <v>2.3761156467937881E-2</v>
      </c>
      <c r="I56" s="27"/>
    </row>
    <row r="57" spans="1:9" s="20" customFormat="1">
      <c r="A57" s="84" t="s">
        <v>19</v>
      </c>
      <c r="B57" s="22" t="s">
        <v>31</v>
      </c>
      <c r="C57" s="22" t="s">
        <v>5</v>
      </c>
      <c r="D57" s="22" t="s">
        <v>33</v>
      </c>
      <c r="E57" s="22">
        <v>46.144919501627207</v>
      </c>
      <c r="F57" s="22">
        <v>1153.706147409393</v>
      </c>
      <c r="G57" s="22">
        <v>1</v>
      </c>
      <c r="H57" s="30">
        <f>F57/(SUM(F57:F61))</f>
        <v>0.53837361735530298</v>
      </c>
      <c r="I57" s="22"/>
    </row>
    <row r="58" spans="1:9" s="20" customFormat="1">
      <c r="A58" s="85"/>
      <c r="B58" s="25" t="s">
        <v>31</v>
      </c>
      <c r="C58" s="25" t="s">
        <v>5</v>
      </c>
      <c r="D58" s="25" t="s">
        <v>35</v>
      </c>
      <c r="E58" s="25">
        <v>-38.454851950388431</v>
      </c>
      <c r="F58" s="25">
        <v>424.45203554114278</v>
      </c>
      <c r="G58" s="25">
        <v>2</v>
      </c>
      <c r="H58" s="31">
        <f>F58/(SUM(F57:F61))</f>
        <v>0.19806930757994692</v>
      </c>
      <c r="I58" s="25"/>
    </row>
    <row r="59" spans="1:9" s="20" customFormat="1">
      <c r="A59" s="85"/>
      <c r="B59" s="25" t="s">
        <v>31</v>
      </c>
      <c r="C59" s="25" t="s">
        <v>5</v>
      </c>
      <c r="D59" s="25" t="s">
        <v>89</v>
      </c>
      <c r="E59" s="25">
        <v>-60.370872129337933</v>
      </c>
      <c r="F59" s="25">
        <v>260.35503500329457</v>
      </c>
      <c r="G59" s="25">
        <v>3</v>
      </c>
      <c r="H59" s="31">
        <f>F59/(SUM(F57:F61))</f>
        <v>0.12149391966588131</v>
      </c>
      <c r="I59" s="25"/>
    </row>
    <row r="60" spans="1:9" s="20" customFormat="1">
      <c r="A60" s="85"/>
      <c r="B60" s="25" t="s">
        <v>31</v>
      </c>
      <c r="C60" s="25" t="s">
        <v>5</v>
      </c>
      <c r="D60" s="25" t="s">
        <v>88</v>
      </c>
      <c r="E60" s="25">
        <v>-19.350813338271909</v>
      </c>
      <c r="F60" s="25">
        <v>169.00941894083519</v>
      </c>
      <c r="G60" s="25">
        <v>4</v>
      </c>
      <c r="H60" s="31">
        <f>F60/(SUM(F57:F61))</f>
        <v>7.8867753670733787E-2</v>
      </c>
      <c r="I60" s="25"/>
    </row>
    <row r="61" spans="1:9" s="20" customFormat="1">
      <c r="A61" s="86"/>
      <c r="B61" s="27" t="s">
        <v>31</v>
      </c>
      <c r="C61" s="27" t="s">
        <v>5</v>
      </c>
      <c r="D61" s="27" t="s">
        <v>37</v>
      </c>
      <c r="E61" s="27">
        <v>-26.878298901315549</v>
      </c>
      <c r="F61" s="27">
        <v>135.4243988030322</v>
      </c>
      <c r="G61" s="27">
        <v>5</v>
      </c>
      <c r="H61" s="32">
        <f>F61/(SUM(F57:F61))</f>
        <v>6.3195401728135064E-2</v>
      </c>
      <c r="I61" s="27"/>
    </row>
    <row r="62" spans="1:9" s="20" customFormat="1">
      <c r="A62" s="84" t="s">
        <v>20</v>
      </c>
      <c r="B62" s="22" t="s">
        <v>44</v>
      </c>
      <c r="C62" s="22" t="s">
        <v>5</v>
      </c>
      <c r="D62" s="22" t="s">
        <v>33</v>
      </c>
      <c r="E62" s="22">
        <v>81.987039973328862</v>
      </c>
      <c r="F62" s="22">
        <v>1436.6350497331855</v>
      </c>
      <c r="G62" s="22">
        <v>1</v>
      </c>
      <c r="H62" s="30">
        <f>F62/(SUM(F62:F66))</f>
        <v>0.53887506236430882</v>
      </c>
      <c r="I62" s="22"/>
    </row>
    <row r="63" spans="1:9" s="20" customFormat="1">
      <c r="A63" s="85"/>
      <c r="B63" s="25" t="s">
        <v>44</v>
      </c>
      <c r="C63" s="25" t="s">
        <v>5</v>
      </c>
      <c r="D63" s="25" t="s">
        <v>35</v>
      </c>
      <c r="E63" s="25">
        <v>-8.4032073220949535</v>
      </c>
      <c r="F63" s="25">
        <v>478.13716580796671</v>
      </c>
      <c r="G63" s="25">
        <v>2</v>
      </c>
      <c r="H63" s="31">
        <f>F63/(SUM(F62:F66))</f>
        <v>0.1793470061107825</v>
      </c>
      <c r="I63" s="25"/>
    </row>
    <row r="64" spans="1:9" s="20" customFormat="1">
      <c r="A64" s="85"/>
      <c r="B64" s="25" t="s">
        <v>44</v>
      </c>
      <c r="C64" s="25" t="s">
        <v>5</v>
      </c>
      <c r="D64" s="25" t="s">
        <v>45</v>
      </c>
      <c r="E64" s="25">
        <v>-17.127815957828282</v>
      </c>
      <c r="F64" s="25">
        <v>451.05999296092193</v>
      </c>
      <c r="G64" s="25">
        <v>3</v>
      </c>
      <c r="H64" s="31">
        <f>F64/(SUM(F62:F66))</f>
        <v>0.16919048569920661</v>
      </c>
      <c r="I64" s="25"/>
    </row>
    <row r="65" spans="1:9" s="20" customFormat="1">
      <c r="A65" s="85"/>
      <c r="B65" s="25" t="s">
        <v>44</v>
      </c>
      <c r="C65" s="25" t="s">
        <v>5</v>
      </c>
      <c r="D65" s="25" t="s">
        <v>46</v>
      </c>
      <c r="E65" s="25">
        <v>-2.7425806160203785</v>
      </c>
      <c r="F65" s="25">
        <v>191.1085929551958</v>
      </c>
      <c r="G65" s="25">
        <v>4</v>
      </c>
      <c r="H65" s="31">
        <f>F65/(SUM(F62:F66))</f>
        <v>7.16839359907116E-2</v>
      </c>
      <c r="I65" s="25"/>
    </row>
    <row r="66" spans="1:9" s="20" customFormat="1">
      <c r="A66" s="85"/>
      <c r="B66" s="25" t="s">
        <v>44</v>
      </c>
      <c r="C66" s="25" t="s">
        <v>5</v>
      </c>
      <c r="D66" s="25" t="s">
        <v>47</v>
      </c>
      <c r="E66" s="25">
        <v>-16.790816997955634</v>
      </c>
      <c r="F66" s="25">
        <v>109.04831191896213</v>
      </c>
      <c r="G66" s="25">
        <v>5</v>
      </c>
      <c r="H66" s="31">
        <f>F66/(SUM(F62:F66))</f>
        <v>4.0903509834990429E-2</v>
      </c>
      <c r="I66" s="25"/>
    </row>
    <row r="67" spans="1:9" s="20" customFormat="1">
      <c r="A67" s="85"/>
      <c r="B67" s="20" t="s">
        <v>86</v>
      </c>
      <c r="C67" s="25" t="s">
        <v>5</v>
      </c>
      <c r="D67" s="25" t="s">
        <v>33</v>
      </c>
      <c r="E67" s="25">
        <v>59.518423725791315</v>
      </c>
      <c r="F67" s="25">
        <v>1349.1237938669858</v>
      </c>
      <c r="G67" s="25">
        <v>1</v>
      </c>
      <c r="H67" s="31">
        <f>F67/(SUM(F67:F71))</f>
        <v>0.52215630737897933</v>
      </c>
      <c r="I67" s="25"/>
    </row>
    <row r="68" spans="1:9" s="20" customFormat="1">
      <c r="A68" s="85"/>
      <c r="B68" s="20" t="s">
        <v>86</v>
      </c>
      <c r="C68" s="25" t="s">
        <v>5</v>
      </c>
      <c r="D68" s="25" t="s">
        <v>35</v>
      </c>
      <c r="E68" s="25">
        <v>-0.88562763950093504</v>
      </c>
      <c r="F68" s="25">
        <v>497.3251290067621</v>
      </c>
      <c r="G68" s="25">
        <v>2</v>
      </c>
      <c r="H68" s="31">
        <f>F68/(SUM(F67:F71))</f>
        <v>0.19248156033526173</v>
      </c>
      <c r="I68" s="25"/>
    </row>
    <row r="69" spans="1:9" s="20" customFormat="1">
      <c r="A69" s="85"/>
      <c r="B69" s="20" t="s">
        <v>86</v>
      </c>
      <c r="C69" s="25" t="s">
        <v>5</v>
      </c>
      <c r="D69" s="25" t="s">
        <v>45</v>
      </c>
      <c r="E69" s="25">
        <v>-35.283291871054104</v>
      </c>
      <c r="F69" s="25">
        <v>455.27778213186144</v>
      </c>
      <c r="G69" s="25">
        <v>3</v>
      </c>
      <c r="H69" s="31">
        <f>F69/(SUM(F67:F71))</f>
        <v>0.1762078221660231</v>
      </c>
      <c r="I69" s="25"/>
    </row>
    <row r="70" spans="1:9" s="20" customFormat="1">
      <c r="A70" s="85"/>
      <c r="B70" s="20" t="s">
        <v>86</v>
      </c>
      <c r="C70" s="25" t="s">
        <v>5</v>
      </c>
      <c r="D70" s="25" t="s">
        <v>46</v>
      </c>
      <c r="E70" s="25">
        <v>6.0683976824044015</v>
      </c>
      <c r="F70" s="25">
        <v>191.22343838873724</v>
      </c>
      <c r="G70" s="25">
        <v>4</v>
      </c>
      <c r="H70" s="31">
        <f>F70/(SUM(F67:F71))</f>
        <v>7.4009905486270872E-2</v>
      </c>
      <c r="I70" s="25"/>
    </row>
    <row r="71" spans="1:9" s="20" customFormat="1">
      <c r="A71" s="86"/>
      <c r="B71" s="20" t="s">
        <v>86</v>
      </c>
      <c r="C71" s="27" t="s">
        <v>5</v>
      </c>
      <c r="D71" s="27" t="s">
        <v>47</v>
      </c>
      <c r="E71" s="27">
        <v>-13.081935526062114</v>
      </c>
      <c r="F71" s="27">
        <v>90.80451934076477</v>
      </c>
      <c r="G71" s="27">
        <v>5</v>
      </c>
      <c r="H71" s="32">
        <f>F71/(SUM(F67:F71))</f>
        <v>3.5144404633465048E-2</v>
      </c>
      <c r="I71" s="27"/>
    </row>
  </sheetData>
  <mergeCells count="5">
    <mergeCell ref="A62:A71"/>
    <mergeCell ref="A57:A61"/>
    <mergeCell ref="A2:A16"/>
    <mergeCell ref="A17:A41"/>
    <mergeCell ref="A42:A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A2EC-DD1B-4161-86FA-EF7A2FB449F0}">
  <dimension ref="A1:Y804"/>
  <sheetViews>
    <sheetView topLeftCell="C1" workbookViewId="0">
      <selection activeCell="H25" sqref="H25"/>
    </sheetView>
  </sheetViews>
  <sheetFormatPr defaultColWidth="9" defaultRowHeight="14.25"/>
  <cols>
    <col min="1" max="6" width="8.75" customWidth="1"/>
    <col min="7" max="7" width="10.25" style="35" customWidth="1"/>
    <col min="8" max="8" width="10.625" style="5" customWidth="1"/>
    <col min="9" max="9" width="11.375" style="5" customWidth="1"/>
    <col min="10" max="10" width="11.875" style="5" customWidth="1"/>
    <col min="11" max="13" width="9" style="5"/>
    <col min="14" max="14" width="9.875" style="5" customWidth="1"/>
    <col min="15" max="15" width="10.25" style="5" customWidth="1"/>
    <col min="16" max="16" width="8.75"/>
    <col min="17" max="18" width="9" style="5"/>
    <col min="19" max="23" width="10.25" style="5" customWidth="1"/>
    <col min="24" max="24" width="10.375" style="5" customWidth="1"/>
    <col min="25" max="25" width="11.25" style="5" customWidth="1"/>
    <col min="26" max="16384" width="9" style="5"/>
  </cols>
  <sheetData>
    <row r="1" spans="1:25">
      <c r="A1" t="s">
        <v>33</v>
      </c>
      <c r="B1" t="s">
        <v>35</v>
      </c>
      <c r="C1" t="s">
        <v>88</v>
      </c>
      <c r="D1" t="s">
        <v>89</v>
      </c>
      <c r="E1" t="s">
        <v>37</v>
      </c>
      <c r="F1" t="s">
        <v>87</v>
      </c>
      <c r="G1" s="19" t="s">
        <v>31</v>
      </c>
      <c r="H1" s="15" t="s">
        <v>23</v>
      </c>
      <c r="I1" s="15" t="s">
        <v>11</v>
      </c>
      <c r="J1" s="15" t="s">
        <v>12</v>
      </c>
      <c r="K1" s="15" t="s">
        <v>24</v>
      </c>
      <c r="L1" s="15" t="s">
        <v>25</v>
      </c>
      <c r="M1" s="15" t="s">
        <v>26</v>
      </c>
      <c r="N1" s="15" t="s">
        <v>7</v>
      </c>
      <c r="O1" s="15" t="s">
        <v>6</v>
      </c>
      <c r="P1" t="s">
        <v>90</v>
      </c>
      <c r="Q1" s="16" t="s">
        <v>32</v>
      </c>
      <c r="R1" s="15" t="s">
        <v>10</v>
      </c>
      <c r="S1" s="17" t="s">
        <v>44</v>
      </c>
      <c r="T1" s="17" t="s">
        <v>86</v>
      </c>
      <c r="U1" s="18" t="s">
        <v>54</v>
      </c>
      <c r="V1" s="18" t="s">
        <v>55</v>
      </c>
      <c r="W1" s="18" t="s">
        <v>56</v>
      </c>
      <c r="X1" s="16" t="s">
        <v>14</v>
      </c>
      <c r="Y1" s="16" t="s">
        <v>13</v>
      </c>
    </row>
    <row r="2" spans="1:25">
      <c r="A2">
        <v>203</v>
      </c>
      <c r="B2">
        <v>9.6</v>
      </c>
      <c r="C2">
        <v>352</v>
      </c>
      <c r="D2">
        <v>84.2</v>
      </c>
      <c r="E2">
        <v>3.9408866995073888</v>
      </c>
      <c r="F2">
        <v>6010</v>
      </c>
      <c r="G2" s="35">
        <v>5906</v>
      </c>
      <c r="H2" s="5">
        <v>5881.4561982911673</v>
      </c>
      <c r="I2" s="5">
        <v>5881.4559807290389</v>
      </c>
      <c r="J2" s="5">
        <v>5881.3718854126564</v>
      </c>
      <c r="K2" s="5">
        <v>4400.4076286719483</v>
      </c>
      <c r="L2" s="5">
        <v>5232.6748860168836</v>
      </c>
      <c r="M2" s="5">
        <v>5906</v>
      </c>
      <c r="N2" s="5">
        <v>5628.6536605336514</v>
      </c>
      <c r="O2" s="5">
        <v>5808.1585163078789</v>
      </c>
      <c r="P2">
        <v>5859.7929442398172</v>
      </c>
      <c r="Q2" s="5">
        <v>5601.9488693097219</v>
      </c>
      <c r="R2" s="5">
        <v>5908.90283203125</v>
      </c>
      <c r="S2" s="5">
        <v>5837.79052734375</v>
      </c>
      <c r="T2" s="5">
        <v>5557.9744651134606</v>
      </c>
      <c r="U2" s="5">
        <v>5560.1501317433049</v>
      </c>
      <c r="V2" s="5">
        <v>4844.8800448307265</v>
      </c>
    </row>
    <row r="3" spans="1:25">
      <c r="A3">
        <v>235</v>
      </c>
      <c r="B3">
        <v>5.66</v>
      </c>
      <c r="C3">
        <v>290</v>
      </c>
      <c r="D3">
        <v>73.2</v>
      </c>
      <c r="E3">
        <v>2</v>
      </c>
      <c r="F3">
        <v>5390</v>
      </c>
      <c r="G3" s="35">
        <v>5071.5</v>
      </c>
      <c r="H3" s="5">
        <v>5454.6863438619312</v>
      </c>
      <c r="I3" s="5">
        <v>5454.6860946784473</v>
      </c>
      <c r="J3" s="5">
        <v>5454.6968135767511</v>
      </c>
      <c r="K3" s="5">
        <v>5279.375</v>
      </c>
      <c r="L3" s="5">
        <v>5213.2655751151797</v>
      </c>
      <c r="M3" s="5">
        <v>5071.5</v>
      </c>
      <c r="N3" s="5">
        <v>5214.1831663207704</v>
      </c>
      <c r="O3" s="5">
        <v>5159.9458153269816</v>
      </c>
      <c r="P3">
        <v>5380.8896774707164</v>
      </c>
      <c r="Q3" s="5">
        <v>5232.4834660979632</v>
      </c>
      <c r="R3" s="5">
        <v>5082.8505859375</v>
      </c>
      <c r="S3" s="5">
        <v>5058.447265625</v>
      </c>
      <c r="T3" s="5">
        <v>5213.6242997761665</v>
      </c>
      <c r="U3" s="5">
        <v>4792.2791821779083</v>
      </c>
      <c r="V3" s="5">
        <v>4069.0038039997289</v>
      </c>
    </row>
    <row r="4" spans="1:25">
      <c r="A4">
        <v>111.3</v>
      </c>
      <c r="B4">
        <v>2</v>
      </c>
      <c r="C4">
        <v>354.6</v>
      </c>
      <c r="D4">
        <v>42.7</v>
      </c>
      <c r="E4">
        <v>3.584905660377359</v>
      </c>
      <c r="F4">
        <v>840</v>
      </c>
      <c r="G4" s="35">
        <v>945.17679350317667</v>
      </c>
      <c r="H4" s="5">
        <v>202.30253697979791</v>
      </c>
      <c r="I4" s="5">
        <v>202.30275252417411</v>
      </c>
      <c r="J4" s="5">
        <v>202.33269728254891</v>
      </c>
      <c r="K4" s="5">
        <v>804.39</v>
      </c>
      <c r="L4" s="5">
        <v>820.46013841091246</v>
      </c>
      <c r="M4" s="5">
        <v>835.08232666864524</v>
      </c>
      <c r="N4" s="5">
        <v>784.29973390836358</v>
      </c>
      <c r="O4" s="5">
        <v>760.86423635876577</v>
      </c>
      <c r="P4">
        <v>820.47225906504389</v>
      </c>
      <c r="Q4" s="5">
        <v>921.82453728902442</v>
      </c>
      <c r="R4" s="5">
        <v>803.56707763671875</v>
      </c>
      <c r="S4" s="5">
        <v>850.7454833984375</v>
      </c>
      <c r="T4" s="5">
        <v>859.26495380170104</v>
      </c>
      <c r="U4" s="5">
        <v>780.62161665481221</v>
      </c>
      <c r="V4" s="5">
        <v>673.25807589882731</v>
      </c>
      <c r="W4" s="5">
        <v>673.45401098456909</v>
      </c>
      <c r="X4" s="5">
        <v>716.88425018718999</v>
      </c>
      <c r="Y4" s="5">
        <v>602.9239406970338</v>
      </c>
    </row>
    <row r="5" spans="1:25">
      <c r="A5">
        <v>159</v>
      </c>
      <c r="B5">
        <v>5.07</v>
      </c>
      <c r="C5">
        <v>381.5</v>
      </c>
      <c r="D5">
        <v>41.5</v>
      </c>
      <c r="E5">
        <v>3</v>
      </c>
      <c r="F5">
        <v>2230</v>
      </c>
      <c r="G5" s="35">
        <v>2342.4241953662458</v>
      </c>
      <c r="H5" s="5">
        <v>2646.7726321417922</v>
      </c>
      <c r="I5" s="5">
        <v>2646.7727481950892</v>
      </c>
      <c r="J5" s="5">
        <v>2646.78469842296</v>
      </c>
      <c r="K5" s="5">
        <v>1918.084787309881</v>
      </c>
      <c r="L5" s="5">
        <v>1969.862901689949</v>
      </c>
      <c r="M5" s="5">
        <v>2162.5354553821489</v>
      </c>
      <c r="N5" s="5">
        <v>2217.7674301360748</v>
      </c>
      <c r="O5" s="5">
        <v>2066.7016715336249</v>
      </c>
      <c r="P5">
        <v>1964.7375883370939</v>
      </c>
      <c r="Q5" s="5">
        <v>1853.0834756589941</v>
      </c>
      <c r="R5" s="5">
        <v>2133.1982421875</v>
      </c>
      <c r="S5" s="5">
        <v>2211.559326171875</v>
      </c>
      <c r="T5" s="5">
        <v>2199.8662222543126</v>
      </c>
      <c r="U5" s="5">
        <v>2237.5329476627112</v>
      </c>
      <c r="V5" s="5">
        <v>1974.3415259696353</v>
      </c>
      <c r="W5" s="5">
        <v>2039.1499772430179</v>
      </c>
      <c r="X5" s="5">
        <v>2047.979865709508</v>
      </c>
      <c r="Y5" s="5">
        <v>1609.1884315398511</v>
      </c>
    </row>
    <row r="6" spans="1:25">
      <c r="A6">
        <v>127</v>
      </c>
      <c r="B6">
        <v>7</v>
      </c>
      <c r="C6">
        <v>429</v>
      </c>
      <c r="D6">
        <v>106.02</v>
      </c>
      <c r="E6">
        <v>3.5039370078740162</v>
      </c>
      <c r="F6">
        <v>3370</v>
      </c>
      <c r="G6" s="35">
        <v>3384</v>
      </c>
      <c r="H6" s="5">
        <v>3331.3004816668049</v>
      </c>
      <c r="I6" s="5">
        <v>3331.300513302896</v>
      </c>
      <c r="J6" s="5">
        <v>3331.2234896292262</v>
      </c>
      <c r="K6" s="5">
        <v>3248.1846153846159</v>
      </c>
      <c r="L6" s="5">
        <v>3387.5652648046412</v>
      </c>
      <c r="M6" s="5">
        <v>3384</v>
      </c>
      <c r="N6" s="5">
        <v>3382.462022423917</v>
      </c>
      <c r="O6" s="5">
        <v>3346.6517691270228</v>
      </c>
      <c r="P6">
        <v>3392.403613000175</v>
      </c>
      <c r="Q6" s="5">
        <v>2989.4616953086479</v>
      </c>
      <c r="R6" s="5">
        <v>3383.012939453125</v>
      </c>
      <c r="S6" s="5">
        <v>3163.276611328125</v>
      </c>
      <c r="T6" s="5">
        <v>2951.4614092775601</v>
      </c>
      <c r="U6" s="5">
        <v>2693.478217968272</v>
      </c>
      <c r="V6" s="5">
        <v>2534.2418302126798</v>
      </c>
    </row>
    <row r="7" spans="1:25">
      <c r="A7">
        <v>108</v>
      </c>
      <c r="B7">
        <v>4.5</v>
      </c>
      <c r="C7">
        <v>358</v>
      </c>
      <c r="D7">
        <v>61.920000000000009</v>
      </c>
      <c r="E7">
        <v>3.5</v>
      </c>
      <c r="F7">
        <v>1578</v>
      </c>
      <c r="G7" s="35">
        <v>1518</v>
      </c>
      <c r="H7" s="5">
        <v>1135.373063068198</v>
      </c>
      <c r="I7" s="5">
        <v>1135.3733108615261</v>
      </c>
      <c r="J7" s="5">
        <v>1135.369459608351</v>
      </c>
      <c r="K7" s="5">
        <v>1325.606839272727</v>
      </c>
      <c r="L7" s="5">
        <v>1425.1787341429381</v>
      </c>
      <c r="M7" s="5">
        <v>1514.65524020471</v>
      </c>
      <c r="N7" s="5">
        <v>1429.884849692831</v>
      </c>
      <c r="O7" s="5">
        <v>1446.3771977799649</v>
      </c>
      <c r="P7">
        <v>1418.1679873832959</v>
      </c>
      <c r="Q7" s="5">
        <v>1498.6018610717019</v>
      </c>
      <c r="R7" s="5">
        <v>1509.788696289062</v>
      </c>
      <c r="S7" s="5">
        <v>1301.122314453125</v>
      </c>
      <c r="T7" s="5">
        <v>1393.2377518198664</v>
      </c>
      <c r="U7" s="5">
        <v>1325.236407380806</v>
      </c>
      <c r="V7" s="5">
        <v>1162.1636835552797</v>
      </c>
      <c r="W7" s="5">
        <v>1251.1398696233855</v>
      </c>
      <c r="Y7" s="5">
        <v>966.1726650299023</v>
      </c>
    </row>
    <row r="8" spans="1:25">
      <c r="A8">
        <v>165</v>
      </c>
      <c r="B8">
        <v>2</v>
      </c>
      <c r="C8">
        <v>338</v>
      </c>
      <c r="D8">
        <v>49.777395755965507</v>
      </c>
      <c r="E8">
        <v>3.0303030303030298</v>
      </c>
      <c r="F8">
        <v>2244.1999999999998</v>
      </c>
      <c r="G8" s="35">
        <v>1925.7</v>
      </c>
      <c r="H8" s="5">
        <v>2000.3000121058419</v>
      </c>
      <c r="I8" s="5">
        <v>2000.299925612856</v>
      </c>
      <c r="J8" s="5">
        <v>2000.3268224605861</v>
      </c>
      <c r="K8" s="5">
        <v>1909.3714285714291</v>
      </c>
      <c r="L8" s="5">
        <v>1965.2112935800981</v>
      </c>
      <c r="M8" s="5">
        <v>1925.2993851132751</v>
      </c>
      <c r="N8" s="5">
        <v>2045.0806037521711</v>
      </c>
      <c r="O8" s="5">
        <v>2097.8670649639648</v>
      </c>
      <c r="P8">
        <v>2077.6562185612779</v>
      </c>
      <c r="Q8" s="5">
        <v>1944.0979049112359</v>
      </c>
      <c r="R8" s="5">
        <v>1935.932861328125</v>
      </c>
      <c r="S8" s="5">
        <v>1981.1102294921875</v>
      </c>
      <c r="T8" s="5">
        <v>1695.8383351833138</v>
      </c>
      <c r="U8" s="5">
        <v>1574.1720587285729</v>
      </c>
      <c r="V8" s="5">
        <v>1329.089107884829</v>
      </c>
      <c r="W8" s="5">
        <v>1361.7303335383394</v>
      </c>
      <c r="Y8" s="5">
        <v>1295.291419102135</v>
      </c>
    </row>
    <row r="9" spans="1:25">
      <c r="A9">
        <v>112.56</v>
      </c>
      <c r="B9">
        <v>2.89</v>
      </c>
      <c r="C9">
        <v>360</v>
      </c>
      <c r="D9">
        <v>30.684449358246841</v>
      </c>
      <c r="E9">
        <v>3.020611229566454</v>
      </c>
      <c r="F9">
        <v>785</v>
      </c>
      <c r="G9" s="35">
        <v>766.91763333117399</v>
      </c>
      <c r="H9" s="5">
        <v>288.82040356116698</v>
      </c>
      <c r="I9" s="5">
        <v>288.82076511639713</v>
      </c>
      <c r="J9" s="5">
        <v>288.87090854465208</v>
      </c>
      <c r="K9" s="5">
        <v>741.5</v>
      </c>
      <c r="L9" s="5">
        <v>756.07614228700061</v>
      </c>
      <c r="M9" s="5">
        <v>746.62843671161636</v>
      </c>
      <c r="N9" s="5">
        <v>763.02831090862253</v>
      </c>
      <c r="O9" s="5">
        <v>746.68792677388171</v>
      </c>
      <c r="P9">
        <v>758.9694680392671</v>
      </c>
      <c r="Q9" s="5">
        <v>809.3574839737081</v>
      </c>
      <c r="R9" s="5">
        <v>781.389404296875</v>
      </c>
      <c r="S9" s="5">
        <v>859.582275390625</v>
      </c>
      <c r="T9" s="5">
        <v>923.02200586783897</v>
      </c>
      <c r="U9" s="5">
        <v>855.48352240402255</v>
      </c>
      <c r="V9" s="5">
        <v>755.54128129810317</v>
      </c>
      <c r="W9" s="5">
        <v>776.03805551449557</v>
      </c>
      <c r="X9" s="5">
        <v>792.84697429830578</v>
      </c>
      <c r="Y9" s="5">
        <v>615.08166313278878</v>
      </c>
    </row>
    <row r="10" spans="1:25">
      <c r="A10">
        <v>82.6</v>
      </c>
      <c r="B10">
        <v>1.4</v>
      </c>
      <c r="C10">
        <v>492.8</v>
      </c>
      <c r="D10">
        <v>28.099911411953151</v>
      </c>
      <c r="E10">
        <v>6.2469733656174338</v>
      </c>
      <c r="F10">
        <v>499</v>
      </c>
      <c r="G10" s="35">
        <v>710.23433221781738</v>
      </c>
      <c r="H10" s="5">
        <v>-359.7316081069971</v>
      </c>
      <c r="I10" s="5">
        <v>-359.73164694287152</v>
      </c>
      <c r="J10" s="5">
        <v>-359.78399928357982</v>
      </c>
      <c r="K10" s="5">
        <v>401.10912503200001</v>
      </c>
      <c r="L10" s="5">
        <v>439.25922658795122</v>
      </c>
      <c r="M10" s="5">
        <v>471.07568569359358</v>
      </c>
      <c r="N10" s="5">
        <v>382.53536525918003</v>
      </c>
      <c r="O10" s="5">
        <v>400.17894249661867</v>
      </c>
      <c r="P10">
        <v>389.29434396284881</v>
      </c>
      <c r="Q10" s="5">
        <v>470.24519684107958</v>
      </c>
      <c r="R10" s="5">
        <v>414.29306030273438</v>
      </c>
      <c r="S10" s="5">
        <v>481.50521850585938</v>
      </c>
      <c r="T10" s="5">
        <v>437.31267817464015</v>
      </c>
      <c r="U10" s="5">
        <v>425.65494295930222</v>
      </c>
      <c r="V10" s="5">
        <v>375.80337922543544</v>
      </c>
      <c r="W10" s="5">
        <v>353.00046623044665</v>
      </c>
      <c r="Y10" s="5">
        <v>297.86381712113342</v>
      </c>
    </row>
    <row r="11" spans="1:25">
      <c r="A11">
        <v>216.5</v>
      </c>
      <c r="B11">
        <v>6.61</v>
      </c>
      <c r="C11">
        <v>452</v>
      </c>
      <c r="D11">
        <v>38.200000000000003</v>
      </c>
      <c r="E11">
        <v>3.0023094688221712</v>
      </c>
      <c r="F11">
        <v>4200</v>
      </c>
      <c r="G11" s="35">
        <v>3995.3914333147409</v>
      </c>
      <c r="H11" s="5">
        <v>5204.8424833333684</v>
      </c>
      <c r="I11" s="5">
        <v>5204.8422718068796</v>
      </c>
      <c r="J11" s="5">
        <v>5204.8172782898891</v>
      </c>
      <c r="K11" s="5">
        <v>3429.057142857142</v>
      </c>
      <c r="L11" s="5">
        <v>3796.497732095846</v>
      </c>
      <c r="M11" s="5">
        <v>3911.0751288368028</v>
      </c>
      <c r="N11" s="5">
        <v>4376.0108325777064</v>
      </c>
      <c r="O11" s="5">
        <v>4063.227258949832</v>
      </c>
      <c r="P11">
        <v>4041.245932758015</v>
      </c>
      <c r="Q11" s="5">
        <v>3545.8816700161292</v>
      </c>
      <c r="R11" s="5">
        <v>3967.988525390625</v>
      </c>
      <c r="S11" s="5">
        <v>3157.456298828125</v>
      </c>
      <c r="T11" s="5">
        <v>4070.9977732932502</v>
      </c>
      <c r="U11" s="5">
        <v>4431.2864169150271</v>
      </c>
      <c r="V11" s="5">
        <v>3933.8699360521491</v>
      </c>
      <c r="W11" s="5">
        <v>3865.5535677145699</v>
      </c>
      <c r="X11" s="5">
        <v>4007.1572174518119</v>
      </c>
      <c r="Y11" s="5">
        <v>3121.721671825761</v>
      </c>
    </row>
    <row r="12" spans="1:25">
      <c r="A12">
        <v>159</v>
      </c>
      <c r="B12">
        <v>3</v>
      </c>
      <c r="C12">
        <v>336.28</v>
      </c>
      <c r="D12">
        <v>90.85</v>
      </c>
      <c r="E12">
        <v>1.8867924528301889</v>
      </c>
      <c r="F12">
        <v>2021.7</v>
      </c>
      <c r="G12" s="35">
        <v>2306.317694901571</v>
      </c>
      <c r="H12" s="5">
        <v>2622.1321705697219</v>
      </c>
      <c r="I12" s="5">
        <v>2622.1321437761972</v>
      </c>
      <c r="J12" s="5">
        <v>2622.1502381620812</v>
      </c>
      <c r="K12" s="5">
        <v>2493.8076923076919</v>
      </c>
      <c r="L12" s="5">
        <v>2359.8789943913189</v>
      </c>
      <c r="M12" s="5">
        <v>2244.6050088090651</v>
      </c>
      <c r="N12" s="5">
        <v>2548.8504200941529</v>
      </c>
      <c r="O12" s="5">
        <v>2191.752748251994</v>
      </c>
      <c r="P12">
        <v>2478.69004991969</v>
      </c>
      <c r="Q12" s="5">
        <v>2168.1626801013349</v>
      </c>
      <c r="R12" s="5">
        <v>2429.859130859375</v>
      </c>
      <c r="S12" s="5">
        <v>2197.18994140625</v>
      </c>
      <c r="T12" s="5">
        <v>2510.3870354529154</v>
      </c>
      <c r="U12" s="5">
        <v>2471.2740365399864</v>
      </c>
      <c r="V12" s="5">
        <v>2075.9198406461892</v>
      </c>
    </row>
    <row r="13" spans="1:25">
      <c r="A13">
        <v>250</v>
      </c>
      <c r="B13">
        <v>2.48</v>
      </c>
      <c r="C13">
        <v>326</v>
      </c>
      <c r="D13">
        <v>73.2</v>
      </c>
      <c r="E13">
        <v>2</v>
      </c>
      <c r="F13">
        <v>4733</v>
      </c>
      <c r="G13" s="35">
        <v>4699.5</v>
      </c>
      <c r="H13" s="5">
        <v>5117.0649566477878</v>
      </c>
      <c r="I13" s="5">
        <v>5117.0644643264513</v>
      </c>
      <c r="J13" s="5">
        <v>5117.1149902936759</v>
      </c>
      <c r="K13" s="5">
        <v>4937.5</v>
      </c>
      <c r="L13" s="5">
        <v>4714.6068269230745</v>
      </c>
      <c r="M13" s="5">
        <v>4699.5</v>
      </c>
      <c r="N13" s="5">
        <v>4562.6904460752648</v>
      </c>
      <c r="O13" s="5">
        <v>4612.5368177173495</v>
      </c>
      <c r="P13">
        <v>4678.0327335455449</v>
      </c>
      <c r="Q13" s="5">
        <v>4753.8728222742902</v>
      </c>
      <c r="R13" s="5">
        <v>4708.6845703125</v>
      </c>
      <c r="S13" s="5">
        <v>4393.154296875</v>
      </c>
      <c r="T13" s="5">
        <v>4608.868503855424</v>
      </c>
      <c r="U13" s="5">
        <v>4470.4940744767364</v>
      </c>
      <c r="V13" s="5">
        <v>3703.3657300957734</v>
      </c>
    </row>
    <row r="14" spans="1:25">
      <c r="A14">
        <v>152.4</v>
      </c>
      <c r="B14">
        <v>1.55</v>
      </c>
      <c r="C14">
        <v>331</v>
      </c>
      <c r="D14">
        <v>16.23188385577448</v>
      </c>
      <c r="E14">
        <v>5.9973753280839892</v>
      </c>
      <c r="F14">
        <v>733</v>
      </c>
      <c r="G14" s="35">
        <v>736.38362965952285</v>
      </c>
      <c r="H14" s="5">
        <v>1182.6485962950351</v>
      </c>
      <c r="I14" s="5">
        <v>1182.6483462160429</v>
      </c>
      <c r="J14" s="5">
        <v>1182.6308672205539</v>
      </c>
      <c r="K14" s="5">
        <v>972.24444444444453</v>
      </c>
      <c r="L14" s="5">
        <v>771.02134676951732</v>
      </c>
      <c r="M14" s="5">
        <v>694.21367313915925</v>
      </c>
      <c r="N14" s="5">
        <v>671.63740885808795</v>
      </c>
      <c r="O14" s="5">
        <v>739.54202949169405</v>
      </c>
      <c r="P14">
        <v>722.7740439742131</v>
      </c>
      <c r="Q14" s="5">
        <v>805.69922654671416</v>
      </c>
      <c r="R14" s="5">
        <v>709.54736328125</v>
      </c>
      <c r="S14" s="5">
        <v>644.445068359375</v>
      </c>
      <c r="T14" s="5">
        <v>626.18010023322063</v>
      </c>
      <c r="U14" s="5">
        <v>678.05553773298584</v>
      </c>
      <c r="V14" s="5">
        <v>591.53686169250761</v>
      </c>
      <c r="W14" s="5">
        <v>556.38898559180359</v>
      </c>
    </row>
    <row r="15" spans="1:25">
      <c r="A15">
        <v>320</v>
      </c>
      <c r="B15">
        <v>7</v>
      </c>
      <c r="C15">
        <v>249.9</v>
      </c>
      <c r="D15">
        <v>46.57</v>
      </c>
      <c r="E15">
        <v>0.8125</v>
      </c>
      <c r="F15">
        <v>7909</v>
      </c>
      <c r="G15" s="35">
        <v>7650.1250521636548</v>
      </c>
      <c r="H15" s="5">
        <v>7879.6483180184377</v>
      </c>
      <c r="I15" s="5">
        <v>7879.6478683989799</v>
      </c>
      <c r="J15" s="5">
        <v>7879.7204462846348</v>
      </c>
      <c r="K15" s="5">
        <v>6042.5787779603816</v>
      </c>
      <c r="L15" s="5">
        <v>7518.4645046682026</v>
      </c>
      <c r="M15" s="5">
        <v>7870.8038371717421</v>
      </c>
      <c r="N15" s="5">
        <v>6232.9022183316101</v>
      </c>
      <c r="O15" s="5">
        <v>8008.1023109425751</v>
      </c>
      <c r="P15">
        <v>7812.3995182442932</v>
      </c>
      <c r="Q15" s="5">
        <v>6992.7981334147444</v>
      </c>
      <c r="R15" s="5">
        <v>8038.7529296875</v>
      </c>
      <c r="S15" s="5">
        <v>7977.44873046875</v>
      </c>
      <c r="T15" s="5">
        <v>7842.8018892895097</v>
      </c>
      <c r="U15" s="5">
        <v>6211.4224968130529</v>
      </c>
      <c r="V15" s="5">
        <v>5312.067074998703</v>
      </c>
      <c r="W15" s="5">
        <v>5703.5914048183577</v>
      </c>
      <c r="X15" s="5">
        <v>6452.1737656092128</v>
      </c>
      <c r="Y15" s="5">
        <v>4971.044150277301</v>
      </c>
    </row>
    <row r="16" spans="1:25">
      <c r="A16">
        <v>154.19999999999999</v>
      </c>
      <c r="B16">
        <v>2.65</v>
      </c>
      <c r="C16">
        <v>356.1</v>
      </c>
      <c r="D16">
        <v>18.399999999999999</v>
      </c>
      <c r="E16">
        <v>3.047989623865111</v>
      </c>
      <c r="F16">
        <v>1294</v>
      </c>
      <c r="G16" s="35">
        <v>1015.246416458168</v>
      </c>
      <c r="H16" s="5">
        <v>1391.007244885913</v>
      </c>
      <c r="I16" s="5">
        <v>1391.007350466379</v>
      </c>
      <c r="J16" s="5">
        <v>1391.0529289157789</v>
      </c>
      <c r="K16" s="5">
        <v>1295.829075636364</v>
      </c>
      <c r="L16" s="5">
        <v>1173.14897348418</v>
      </c>
      <c r="M16" s="5">
        <v>1161.4144633577289</v>
      </c>
      <c r="N16" s="5">
        <v>1205.7831120979281</v>
      </c>
      <c r="O16" s="5">
        <v>1142.53969629428</v>
      </c>
      <c r="P16">
        <v>1263.9405040443251</v>
      </c>
      <c r="Q16" s="5">
        <v>971.96700830043574</v>
      </c>
      <c r="R16" s="5">
        <v>1190.509521484375</v>
      </c>
      <c r="S16" s="5">
        <v>1045.740478515625</v>
      </c>
      <c r="T16" s="5">
        <v>1130.8364133682758</v>
      </c>
      <c r="U16" s="5">
        <v>1048.2480070453807</v>
      </c>
      <c r="V16" s="5">
        <v>928.63695281821151</v>
      </c>
      <c r="W16" s="5">
        <v>843.8342038058704</v>
      </c>
    </row>
    <row r="17" spans="1:25">
      <c r="A17">
        <v>112.56</v>
      </c>
      <c r="B17">
        <v>2.89</v>
      </c>
      <c r="C17">
        <v>360</v>
      </c>
      <c r="D17">
        <v>27.458933624883009</v>
      </c>
      <c r="E17">
        <v>3.020611229566454</v>
      </c>
      <c r="F17">
        <v>758</v>
      </c>
      <c r="G17" s="35">
        <v>713.68170718962722</v>
      </c>
      <c r="H17" s="5">
        <v>239.22855045574619</v>
      </c>
      <c r="I17" s="5">
        <v>239.22892541186229</v>
      </c>
      <c r="J17" s="5">
        <v>239.28192995247221</v>
      </c>
      <c r="K17" s="5">
        <v>741.5</v>
      </c>
      <c r="L17" s="5">
        <v>719.50054286869397</v>
      </c>
      <c r="M17" s="5">
        <v>718.81465814380476</v>
      </c>
      <c r="N17" s="5">
        <v>775.563351816357</v>
      </c>
      <c r="O17" s="5">
        <v>761.89302748562477</v>
      </c>
      <c r="P17">
        <v>763.21502927152972</v>
      </c>
      <c r="Q17" s="5">
        <v>809.3574839737081</v>
      </c>
      <c r="R17" s="5">
        <v>785.90789794921875</v>
      </c>
      <c r="S17" s="5">
        <v>777.928955078125</v>
      </c>
      <c r="T17" s="5">
        <v>892.96787272634958</v>
      </c>
      <c r="U17" s="5">
        <v>826.59875471235694</v>
      </c>
      <c r="V17" s="5">
        <v>732.43346714477093</v>
      </c>
      <c r="W17" s="5">
        <v>737.04960897736805</v>
      </c>
      <c r="Y17" s="5">
        <v>587.95842195259831</v>
      </c>
    </row>
    <row r="18" spans="1:25">
      <c r="A18">
        <v>165</v>
      </c>
      <c r="B18">
        <v>3</v>
      </c>
      <c r="C18">
        <v>338</v>
      </c>
      <c r="D18">
        <v>49.777395755965507</v>
      </c>
      <c r="E18">
        <v>3.0303030303030298</v>
      </c>
      <c r="F18">
        <v>2734.2</v>
      </c>
      <c r="G18" s="35">
        <v>2567.6</v>
      </c>
      <c r="H18" s="5">
        <v>2301.0429366480621</v>
      </c>
      <c r="I18" s="5">
        <v>2301.042903674133</v>
      </c>
      <c r="J18" s="5">
        <v>2301.0684065042369</v>
      </c>
      <c r="K18" s="5">
        <v>2391.207692307692</v>
      </c>
      <c r="L18" s="5">
        <v>2458.3569444091008</v>
      </c>
      <c r="M18" s="5">
        <v>2552.4615339420461</v>
      </c>
      <c r="N18" s="5">
        <v>2374.533132530782</v>
      </c>
      <c r="O18" s="5">
        <v>2475.0944426657552</v>
      </c>
      <c r="P18">
        <v>2217.4607634860372</v>
      </c>
      <c r="Q18" s="5">
        <v>2064.5031504689732</v>
      </c>
      <c r="R18" s="5">
        <v>2566.186767578125</v>
      </c>
      <c r="S18" s="5">
        <v>2150.3203125</v>
      </c>
      <c r="T18" s="5">
        <v>1882.2165804285069</v>
      </c>
      <c r="U18" s="5">
        <v>1824.3848863410296</v>
      </c>
      <c r="V18" s="5">
        <v>1562.8157792578343</v>
      </c>
      <c r="W18" s="5">
        <v>1544.0498370007097</v>
      </c>
      <c r="X18" s="5">
        <v>1720.1430634144631</v>
      </c>
      <c r="Y18" s="5">
        <v>1441.811031757175</v>
      </c>
    </row>
    <row r="19" spans="1:25">
      <c r="A19">
        <v>114.3</v>
      </c>
      <c r="B19">
        <v>6</v>
      </c>
      <c r="C19">
        <v>342.95</v>
      </c>
      <c r="D19">
        <v>58.68</v>
      </c>
      <c r="E19">
        <v>5</v>
      </c>
      <c r="F19">
        <v>1263.2</v>
      </c>
      <c r="G19" s="35">
        <v>1401.5817835945311</v>
      </c>
      <c r="H19" s="5">
        <v>1762.0412564750491</v>
      </c>
      <c r="I19" s="5">
        <v>1762.041379622392</v>
      </c>
      <c r="J19" s="5">
        <v>1761.992877667986</v>
      </c>
      <c r="K19" s="5">
        <v>1600.181</v>
      </c>
      <c r="L19" s="5">
        <v>1233.015263786795</v>
      </c>
      <c r="M19" s="5">
        <v>1307.2024029126239</v>
      </c>
      <c r="N19" s="5">
        <v>1207.9391479901519</v>
      </c>
      <c r="O19" s="5">
        <v>1115.508409093236</v>
      </c>
      <c r="P19">
        <v>1217.264328811897</v>
      </c>
      <c r="Q19" s="5">
        <v>1468.325509650804</v>
      </c>
      <c r="R19" s="5">
        <v>1179.317260742188</v>
      </c>
      <c r="S19" s="5">
        <v>1360.8330078125</v>
      </c>
      <c r="T19" s="5">
        <v>1493.8046247124939</v>
      </c>
      <c r="U19" s="5">
        <v>1616.4783465220635</v>
      </c>
      <c r="V19" s="5">
        <v>1427.519889470128</v>
      </c>
      <c r="W19" s="5">
        <v>1475.5481009933596</v>
      </c>
      <c r="Y19" s="5">
        <v>1134.5569973435181</v>
      </c>
    </row>
    <row r="20" spans="1:25">
      <c r="A20">
        <v>190</v>
      </c>
      <c r="B20">
        <v>1.1100000000000001</v>
      </c>
      <c r="C20">
        <v>203.1</v>
      </c>
      <c r="D20">
        <v>94.7</v>
      </c>
      <c r="E20">
        <v>3.4842105263157901</v>
      </c>
      <c r="F20">
        <v>2462</v>
      </c>
      <c r="G20" s="35">
        <v>3009.0954348720002</v>
      </c>
      <c r="H20" s="5">
        <v>2999.5424658063439</v>
      </c>
      <c r="I20" s="5">
        <v>2999.5421005649391</v>
      </c>
      <c r="J20" s="5">
        <v>2999.559376907368</v>
      </c>
      <c r="K20" s="5">
        <v>1755.288888888889</v>
      </c>
      <c r="L20" s="5">
        <v>2691.919708333332</v>
      </c>
      <c r="M20" s="5">
        <v>2805.9669902912619</v>
      </c>
      <c r="N20" s="5">
        <v>2759.1683147088688</v>
      </c>
      <c r="O20" s="5">
        <v>3148.3975363222139</v>
      </c>
      <c r="P20">
        <v>2719.3195922499322</v>
      </c>
      <c r="Q20" s="5">
        <v>2721.353332379414</v>
      </c>
      <c r="R20" s="5">
        <v>3027.955810546875</v>
      </c>
      <c r="S20" s="5">
        <v>2611.4521484375</v>
      </c>
      <c r="T20" s="5">
        <v>2701.748662012918</v>
      </c>
      <c r="U20" s="5">
        <v>2839.3629632412726</v>
      </c>
      <c r="V20" s="5">
        <v>2298.6228082028738</v>
      </c>
    </row>
    <row r="21" spans="1:25">
      <c r="A21">
        <v>114.3</v>
      </c>
      <c r="B21">
        <v>3.35</v>
      </c>
      <c r="C21">
        <v>287.33</v>
      </c>
      <c r="D21">
        <v>105.45</v>
      </c>
      <c r="E21">
        <v>5</v>
      </c>
      <c r="F21">
        <v>1407.1</v>
      </c>
      <c r="G21" s="35">
        <v>1155.0259357039299</v>
      </c>
      <c r="H21" s="5">
        <v>1555.4903616423751</v>
      </c>
      <c r="I21" s="5">
        <v>1555.490251728666</v>
      </c>
      <c r="J21" s="5">
        <v>1555.4296788768449</v>
      </c>
      <c r="K21" s="5">
        <v>1189.814166666667</v>
      </c>
      <c r="L21" s="5">
        <v>1285.2915583458289</v>
      </c>
      <c r="M21" s="5">
        <v>1342.8131553398009</v>
      </c>
      <c r="N21" s="5">
        <v>1236.189529400506</v>
      </c>
      <c r="O21" s="5">
        <v>1233.1972902189609</v>
      </c>
      <c r="P21">
        <v>1232.9453492019779</v>
      </c>
      <c r="Q21" s="5">
        <v>1173.0779639460191</v>
      </c>
      <c r="R21" s="5">
        <v>1334.435668945312</v>
      </c>
      <c r="S21" s="5">
        <v>1454.2947998046875</v>
      </c>
      <c r="T21" s="5">
        <v>1438.8915992674501</v>
      </c>
      <c r="U21" s="5">
        <v>1442.0044272799403</v>
      </c>
      <c r="V21" s="5">
        <v>1268.233485900231</v>
      </c>
    </row>
    <row r="22" spans="1:25">
      <c r="A22">
        <v>113.6</v>
      </c>
      <c r="B22">
        <v>3.2</v>
      </c>
      <c r="C22">
        <v>354.6</v>
      </c>
      <c r="D22">
        <v>42.7</v>
      </c>
      <c r="E22">
        <v>2.957746478873239</v>
      </c>
      <c r="F22">
        <v>1139</v>
      </c>
      <c r="G22" s="35">
        <v>1124.856430780663</v>
      </c>
      <c r="H22" s="5">
        <v>645.43482694813042</v>
      </c>
      <c r="I22" s="5">
        <v>645.43512999424343</v>
      </c>
      <c r="J22" s="5">
        <v>645.46450427798072</v>
      </c>
      <c r="K22" s="5">
        <v>1122.75</v>
      </c>
      <c r="L22" s="5">
        <v>1117.653761362466</v>
      </c>
      <c r="M22" s="5">
        <v>1132.538341949313</v>
      </c>
      <c r="N22" s="5">
        <v>1037.0895019408231</v>
      </c>
      <c r="O22" s="5">
        <v>1054.078681833892</v>
      </c>
      <c r="P22">
        <v>952.14713224165268</v>
      </c>
      <c r="Q22" s="5">
        <v>1032.353231371673</v>
      </c>
      <c r="R22" s="5">
        <v>1117.237915039062</v>
      </c>
      <c r="S22" s="5">
        <v>957.2568359375</v>
      </c>
      <c r="T22" s="5">
        <v>1092.9856032147677</v>
      </c>
      <c r="U22" s="5">
        <v>1022.9584712678069</v>
      </c>
      <c r="V22" s="5">
        <v>896.26206974080276</v>
      </c>
      <c r="W22" s="5">
        <v>967.96564714613908</v>
      </c>
      <c r="X22" s="5">
        <v>948.98100294331516</v>
      </c>
      <c r="Y22" s="5">
        <v>754.10452916986878</v>
      </c>
    </row>
    <row r="23" spans="1:25">
      <c r="A23">
        <v>168.2</v>
      </c>
      <c r="B23">
        <v>4.5199999999999996</v>
      </c>
      <c r="C23">
        <v>302</v>
      </c>
      <c r="D23">
        <v>43.8</v>
      </c>
      <c r="E23">
        <v>4.833531510107016</v>
      </c>
      <c r="F23">
        <v>2113</v>
      </c>
      <c r="G23" s="35">
        <v>2224.7283405091362</v>
      </c>
      <c r="H23" s="5">
        <v>2711.0471237539368</v>
      </c>
      <c r="I23" s="5">
        <v>2711.0469654311132</v>
      </c>
      <c r="J23" s="5">
        <v>2711.0226584963339</v>
      </c>
      <c r="K23" s="5">
        <v>1937.9079536799629</v>
      </c>
      <c r="L23" s="5">
        <v>2039.1889514557131</v>
      </c>
      <c r="M23" s="5">
        <v>2155.4010719293728</v>
      </c>
      <c r="N23" s="5">
        <v>2087.3332533148368</v>
      </c>
      <c r="O23" s="5">
        <v>2033.4050514577041</v>
      </c>
      <c r="P23">
        <v>2063.714474190856</v>
      </c>
      <c r="Q23" s="5">
        <v>1905.521081588777</v>
      </c>
      <c r="R23" s="5">
        <v>2110.462890625</v>
      </c>
      <c r="S23" s="5">
        <v>1770.952880859375</v>
      </c>
      <c r="T23" s="5">
        <v>1922.2036203495372</v>
      </c>
      <c r="U23" s="5">
        <v>2008.5475963346221</v>
      </c>
      <c r="V23" s="5">
        <v>1745.9781428378265</v>
      </c>
      <c r="W23" s="5">
        <v>1899.7612600533448</v>
      </c>
      <c r="X23" s="5">
        <v>1737.299977757883</v>
      </c>
      <c r="Y23" s="5">
        <v>1501.6025642852589</v>
      </c>
    </row>
    <row r="24" spans="1:25">
      <c r="A24">
        <v>630</v>
      </c>
      <c r="B24">
        <v>7</v>
      </c>
      <c r="C24">
        <v>291.39999999999998</v>
      </c>
      <c r="D24">
        <v>36</v>
      </c>
      <c r="E24">
        <v>3</v>
      </c>
      <c r="F24">
        <v>16650</v>
      </c>
      <c r="G24" s="35">
        <v>21586.160736397389</v>
      </c>
      <c r="H24" s="5">
        <v>17784.685752632409</v>
      </c>
      <c r="I24" s="5">
        <v>17784.683229476119</v>
      </c>
      <c r="J24" s="5">
        <v>17784.605942174741</v>
      </c>
      <c r="K24" s="5">
        <v>24981</v>
      </c>
      <c r="L24" s="5">
        <v>17891.570102016791</v>
      </c>
      <c r="M24" s="5">
        <v>16697.78101942542</v>
      </c>
      <c r="N24" s="5">
        <v>15364.22135684356</v>
      </c>
      <c r="O24" s="5">
        <v>18575.14257317792</v>
      </c>
      <c r="P24">
        <v>16652.896459686581</v>
      </c>
      <c r="Q24" s="5">
        <v>15000</v>
      </c>
      <c r="R24" s="5">
        <v>14239.0234375</v>
      </c>
      <c r="S24" s="5">
        <v>15205.0625</v>
      </c>
      <c r="T24" s="5">
        <v>16515.374062031646</v>
      </c>
      <c r="U24" s="5">
        <v>17196.426456071353</v>
      </c>
      <c r="V24" s="5">
        <v>14562.44017659734</v>
      </c>
      <c r="W24" s="5">
        <v>13909.268858110961</v>
      </c>
      <c r="Y24" s="5">
        <v>14062.82587054318</v>
      </c>
    </row>
    <row r="25" spans="1:25">
      <c r="A25">
        <v>165</v>
      </c>
      <c r="B25">
        <v>1</v>
      </c>
      <c r="C25">
        <v>338</v>
      </c>
      <c r="D25">
        <v>49.777395755965507</v>
      </c>
      <c r="E25">
        <v>3.0303030303030298</v>
      </c>
      <c r="F25">
        <v>1372</v>
      </c>
      <c r="G25" s="35">
        <v>1906.1</v>
      </c>
      <c r="H25" s="5">
        <v>1709.1860408358159</v>
      </c>
      <c r="I25" s="5">
        <v>1709.185904109954</v>
      </c>
      <c r="J25" s="5">
        <v>1709.220000286535</v>
      </c>
      <c r="K25" s="5">
        <v>2218.0461538461541</v>
      </c>
      <c r="L25" s="5">
        <v>1952.177752688553</v>
      </c>
      <c r="M25" s="5">
        <v>1910.858543689315</v>
      </c>
      <c r="N25" s="5">
        <v>1818.242305985083</v>
      </c>
      <c r="O25" s="5">
        <v>1924.941084024945</v>
      </c>
      <c r="P25">
        <v>1916.6657406487191</v>
      </c>
      <c r="Q25" s="5">
        <v>2171.1309452935429</v>
      </c>
      <c r="R25" s="5">
        <v>1898.031372070312</v>
      </c>
      <c r="S25" s="5">
        <v>1912.4810791015625</v>
      </c>
      <c r="T25" s="5">
        <v>1592.2376685186712</v>
      </c>
      <c r="U25" s="5">
        <v>1320.8315707709603</v>
      </c>
      <c r="V25" s="5">
        <v>1091.9763325244624</v>
      </c>
      <c r="Y25" s="5">
        <v>880.16539611456244</v>
      </c>
    </row>
    <row r="26" spans="1:25">
      <c r="A26">
        <v>101.7</v>
      </c>
      <c r="B26">
        <v>2.4</v>
      </c>
      <c r="C26">
        <v>380</v>
      </c>
      <c r="D26">
        <v>57</v>
      </c>
      <c r="E26">
        <v>3.5004916420845622</v>
      </c>
      <c r="F26">
        <v>770</v>
      </c>
      <c r="G26" s="35">
        <v>740</v>
      </c>
      <c r="H26" s="5">
        <v>322.03993758121533</v>
      </c>
      <c r="I26" s="5">
        <v>322.0401552141243</v>
      </c>
      <c r="J26" s="5">
        <v>322.05449246908262</v>
      </c>
      <c r="K26" s="5">
        <v>856.66666666666663</v>
      </c>
      <c r="L26" s="5">
        <v>769.43890594181505</v>
      </c>
      <c r="M26" s="5">
        <v>739.70618932038838</v>
      </c>
      <c r="N26" s="5">
        <v>765.7682095120424</v>
      </c>
      <c r="O26" s="5">
        <v>763.22960298929593</v>
      </c>
      <c r="P26">
        <v>847.62151842243873</v>
      </c>
      <c r="Q26" s="5">
        <v>772.93088491160438</v>
      </c>
      <c r="R26" s="5">
        <v>740.09039306640625</v>
      </c>
      <c r="S26" s="5">
        <v>960.4171142578125</v>
      </c>
      <c r="T26" s="5">
        <v>958.74882380225131</v>
      </c>
      <c r="U26" s="5">
        <v>881.2536043509308</v>
      </c>
      <c r="V26" s="5">
        <v>761.61272899635583</v>
      </c>
      <c r="W26" s="5">
        <v>865.92753279700639</v>
      </c>
      <c r="X26" s="5">
        <v>801.20846410600382</v>
      </c>
      <c r="Y26" s="5">
        <v>675.40943600121273</v>
      </c>
    </row>
    <row r="27" spans="1:25">
      <c r="A27">
        <v>190</v>
      </c>
      <c r="B27">
        <v>1.1100000000000001</v>
      </c>
      <c r="C27">
        <v>203.1</v>
      </c>
      <c r="D27">
        <v>110.3</v>
      </c>
      <c r="E27">
        <v>3.4947368421052629</v>
      </c>
      <c r="F27">
        <v>3055</v>
      </c>
      <c r="G27" s="35">
        <v>2934.4655758454369</v>
      </c>
      <c r="H27" s="5">
        <v>3144.2030594753342</v>
      </c>
      <c r="I27" s="5">
        <v>3144.202588287375</v>
      </c>
      <c r="J27" s="5">
        <v>3144.1955903834541</v>
      </c>
      <c r="K27" s="5">
        <v>2830.272727272727</v>
      </c>
      <c r="L27" s="5">
        <v>2837.191933225753</v>
      </c>
      <c r="M27" s="5">
        <v>3092.7621359223299</v>
      </c>
      <c r="N27" s="5">
        <v>2903.4148493619268</v>
      </c>
      <c r="O27" s="5">
        <v>2840.221781975768</v>
      </c>
      <c r="P27">
        <v>2816.1294791946411</v>
      </c>
      <c r="Q27" s="5">
        <v>2635.2794648925828</v>
      </c>
      <c r="R27" s="5">
        <v>2820.456298828125</v>
      </c>
      <c r="S27" s="5">
        <v>3062.45654296875</v>
      </c>
      <c r="T27" s="5">
        <v>3000.7570919759596</v>
      </c>
      <c r="U27" s="5">
        <v>3247.3117807556073</v>
      </c>
      <c r="V27" s="5">
        <v>2644.2462066055159</v>
      </c>
    </row>
    <row r="28" spans="1:25">
      <c r="A28">
        <v>108</v>
      </c>
      <c r="B28">
        <v>4.5</v>
      </c>
      <c r="C28">
        <v>409.64</v>
      </c>
      <c r="D28">
        <v>28.6</v>
      </c>
      <c r="E28">
        <v>2.2222222222222219</v>
      </c>
      <c r="F28">
        <v>1234.8</v>
      </c>
      <c r="G28" s="35">
        <v>1225.312765957447</v>
      </c>
      <c r="H28" s="5">
        <v>700.71195139289284</v>
      </c>
      <c r="I28" s="5">
        <v>700.7124728655449</v>
      </c>
      <c r="J28" s="5">
        <v>700.76827958902004</v>
      </c>
      <c r="K28" s="5">
        <v>1209.925</v>
      </c>
      <c r="L28" s="5">
        <v>1284.0301458761851</v>
      </c>
      <c r="M28" s="5">
        <v>1264.189952105771</v>
      </c>
      <c r="N28" s="5">
        <v>1309.8562822920769</v>
      </c>
      <c r="O28" s="5">
        <v>1356.9130690610079</v>
      </c>
      <c r="P28">
        <v>1333.3993628430569</v>
      </c>
      <c r="Q28" s="5">
        <v>1408.8099733491831</v>
      </c>
      <c r="R28" s="5">
        <v>1299.378662109375</v>
      </c>
      <c r="S28" s="5">
        <v>1150.9041748046875</v>
      </c>
      <c r="T28" s="5">
        <v>1275.4374436892713</v>
      </c>
      <c r="U28" s="5">
        <v>1191.1558234828958</v>
      </c>
      <c r="V28" s="5">
        <v>1069.6086191103561</v>
      </c>
      <c r="W28" s="5">
        <v>1008.4729192276545</v>
      </c>
      <c r="X28" s="5">
        <v>1121.5172796189629</v>
      </c>
      <c r="Y28" s="5">
        <v>805.33800126614608</v>
      </c>
    </row>
    <row r="29" spans="1:25">
      <c r="A29">
        <v>219</v>
      </c>
      <c r="B29">
        <v>4.72</v>
      </c>
      <c r="C29">
        <v>350</v>
      </c>
      <c r="D29">
        <v>41.9</v>
      </c>
      <c r="E29">
        <v>2.968036529680365</v>
      </c>
      <c r="F29">
        <v>3350</v>
      </c>
      <c r="G29" s="35">
        <v>3380</v>
      </c>
      <c r="H29" s="5">
        <v>4428.1139431392903</v>
      </c>
      <c r="I29" s="5">
        <v>4428.1136950084619</v>
      </c>
      <c r="J29" s="5">
        <v>4428.120915038432</v>
      </c>
      <c r="K29" s="5">
        <v>3196.1</v>
      </c>
      <c r="L29" s="5">
        <v>3252.1588461538458</v>
      </c>
      <c r="M29" s="5">
        <v>3366.2953074433658</v>
      </c>
      <c r="N29" s="5">
        <v>3138.7361473300798</v>
      </c>
      <c r="O29" s="5">
        <v>3320.3896262909029</v>
      </c>
      <c r="P29">
        <v>3217.8920372010371</v>
      </c>
      <c r="Q29" s="5">
        <v>3120.1603645931441</v>
      </c>
      <c r="R29" s="5">
        <v>3358.5849609375</v>
      </c>
      <c r="S29" s="5">
        <v>3106.29443359375</v>
      </c>
      <c r="T29" s="5">
        <v>3140.4689052798994</v>
      </c>
      <c r="U29" s="5">
        <v>3246.7683223739837</v>
      </c>
      <c r="V29" s="5">
        <v>2819.2061637545694</v>
      </c>
      <c r="W29" s="5">
        <v>2980.3916034397284</v>
      </c>
      <c r="X29" s="5">
        <v>3044.0803145000559</v>
      </c>
      <c r="Y29" s="5">
        <v>2465.5871056188812</v>
      </c>
    </row>
    <row r="30" spans="1:25">
      <c r="A30">
        <v>179</v>
      </c>
      <c r="B30">
        <v>5.5</v>
      </c>
      <c r="C30">
        <v>248.50051099999999</v>
      </c>
      <c r="D30">
        <v>43.639592499999999</v>
      </c>
      <c r="E30">
        <v>2.011173184357542</v>
      </c>
      <c r="F30">
        <v>2029.9765559282521</v>
      </c>
      <c r="G30" s="35">
        <v>1936.8452799702261</v>
      </c>
      <c r="H30" s="5">
        <v>3027.8923679776231</v>
      </c>
      <c r="I30" s="5">
        <v>3027.892544282503</v>
      </c>
      <c r="J30" s="5">
        <v>3027.938883776003</v>
      </c>
      <c r="K30" s="5">
        <v>1971.53597405193</v>
      </c>
      <c r="L30" s="5">
        <v>2030.0523600717031</v>
      </c>
      <c r="M30" s="5">
        <v>2060.8547189781102</v>
      </c>
      <c r="N30" s="5">
        <v>2232.8008099642689</v>
      </c>
      <c r="O30" s="5">
        <v>2144.1299652570692</v>
      </c>
      <c r="P30">
        <v>2337.5952656263771</v>
      </c>
      <c r="Q30" s="5">
        <v>2077.8151071559569</v>
      </c>
      <c r="R30" s="5">
        <v>2246.640380859375</v>
      </c>
      <c r="S30" s="5">
        <v>2222.82666015625</v>
      </c>
      <c r="T30" s="5">
        <v>2458.4411812447952</v>
      </c>
      <c r="U30" s="5">
        <v>2174.2151506021228</v>
      </c>
      <c r="V30" s="5">
        <v>1886.3759328797398</v>
      </c>
      <c r="W30" s="5">
        <v>2057.3437188574771</v>
      </c>
      <c r="X30" s="5">
        <v>2140.3140308077768</v>
      </c>
      <c r="Y30" s="5">
        <v>1659.2728554798471</v>
      </c>
    </row>
    <row r="31" spans="1:25">
      <c r="A31">
        <v>190</v>
      </c>
      <c r="B31">
        <v>1.94</v>
      </c>
      <c r="C31">
        <v>256.39999999999998</v>
      </c>
      <c r="D31">
        <v>41</v>
      </c>
      <c r="E31">
        <v>3.492105263157895</v>
      </c>
      <c r="F31">
        <v>1678</v>
      </c>
      <c r="G31" s="35">
        <v>1395.921735870535</v>
      </c>
      <c r="H31" s="5">
        <v>2414.9191922040218</v>
      </c>
      <c r="I31" s="5">
        <v>2414.9189943800379</v>
      </c>
      <c r="J31" s="5">
        <v>2414.9706877863082</v>
      </c>
      <c r="K31" s="5">
        <v>2128.91</v>
      </c>
      <c r="L31" s="5">
        <v>1946.303621372638</v>
      </c>
      <c r="M31" s="5">
        <v>1748.527021559958</v>
      </c>
      <c r="N31" s="5">
        <v>1710.8788742515419</v>
      </c>
      <c r="O31" s="5">
        <v>1617.3643276448099</v>
      </c>
      <c r="P31">
        <v>1758.9326448705131</v>
      </c>
      <c r="Q31" s="5">
        <v>1694.8666640444369</v>
      </c>
      <c r="R31" s="5">
        <v>1716.701049804688</v>
      </c>
      <c r="S31" s="5">
        <v>1664.57763671875</v>
      </c>
      <c r="T31" s="5">
        <v>1657.5465833230742</v>
      </c>
      <c r="U31" s="5">
        <v>1591.5562016276394</v>
      </c>
      <c r="V31" s="5">
        <v>1332.5795044399997</v>
      </c>
      <c r="W31" s="5">
        <v>1368.4928752296232</v>
      </c>
      <c r="Y31" s="5">
        <v>1336.8017234355441</v>
      </c>
    </row>
    <row r="32" spans="1:25">
      <c r="A32">
        <v>318.39999999999998</v>
      </c>
      <c r="B32">
        <v>10.37</v>
      </c>
      <c r="C32">
        <v>335</v>
      </c>
      <c r="D32">
        <v>39.200000000000003</v>
      </c>
      <c r="E32">
        <v>2.999371859296482</v>
      </c>
      <c r="F32">
        <v>7742</v>
      </c>
      <c r="G32" s="35">
        <v>7939.9982950165659</v>
      </c>
      <c r="H32" s="5">
        <v>9026.6593024158356</v>
      </c>
      <c r="I32" s="5">
        <v>9026.6587312244919</v>
      </c>
      <c r="J32" s="5">
        <v>9026.6409234321254</v>
      </c>
      <c r="K32" s="5">
        <v>8269.0833333333339</v>
      </c>
      <c r="L32" s="5">
        <v>7849.8084933904174</v>
      </c>
      <c r="M32" s="5">
        <v>7796.5461165048546</v>
      </c>
      <c r="N32" s="5">
        <v>9064.454439282008</v>
      </c>
      <c r="O32" s="5">
        <v>7861.197735017191</v>
      </c>
      <c r="P32">
        <v>7840.6909762131017</v>
      </c>
      <c r="Q32" s="5">
        <v>8109.0466147383868</v>
      </c>
      <c r="R32" s="5">
        <v>7786.189453125</v>
      </c>
      <c r="S32" s="5">
        <v>7555.89453125</v>
      </c>
      <c r="T32" s="5">
        <v>7805.0964485020522</v>
      </c>
      <c r="U32" s="5">
        <v>8173.8755212513843</v>
      </c>
      <c r="V32" s="5">
        <v>7201.0039432233843</v>
      </c>
      <c r="W32" s="5">
        <v>7273.8878014131915</v>
      </c>
      <c r="X32" s="5">
        <v>7545.0428737530374</v>
      </c>
      <c r="Y32" s="5">
        <v>5912.0756867781147</v>
      </c>
    </row>
    <row r="33" spans="1:25">
      <c r="A33">
        <v>152</v>
      </c>
      <c r="B33">
        <v>1.7</v>
      </c>
      <c r="C33">
        <v>270</v>
      </c>
      <c r="D33">
        <v>73</v>
      </c>
      <c r="E33">
        <v>5.9210526315789478</v>
      </c>
      <c r="F33">
        <v>1458</v>
      </c>
      <c r="G33" s="35">
        <v>1424.944060375828</v>
      </c>
      <c r="H33" s="5">
        <v>1749.0811435415701</v>
      </c>
      <c r="I33" s="5">
        <v>1749.0807559524169</v>
      </c>
      <c r="J33" s="5">
        <v>1749.027821779099</v>
      </c>
      <c r="K33" s="5">
        <v>1727.9</v>
      </c>
      <c r="L33" s="5">
        <v>1616.394887422171</v>
      </c>
      <c r="M33" s="5">
        <v>1473.9162135922329</v>
      </c>
      <c r="N33" s="5">
        <v>1628.8613940123771</v>
      </c>
      <c r="O33" s="5">
        <v>1418.833049522349</v>
      </c>
      <c r="P33">
        <v>1479.983602569976</v>
      </c>
      <c r="Q33" s="5">
        <v>1625.114922511762</v>
      </c>
      <c r="R33" s="5">
        <v>1472.139038085938</v>
      </c>
      <c r="S33" s="5">
        <v>2261.9287109375</v>
      </c>
      <c r="T33" s="5">
        <v>1540.0188125972034</v>
      </c>
      <c r="U33" s="5">
        <v>1617.1531779028137</v>
      </c>
      <c r="V33" s="5">
        <v>1337.4364695890597</v>
      </c>
    </row>
    <row r="34" spans="1:25">
      <c r="A34">
        <v>100</v>
      </c>
      <c r="B34">
        <v>1.9</v>
      </c>
      <c r="C34">
        <v>404</v>
      </c>
      <c r="D34">
        <v>97.28</v>
      </c>
      <c r="E34">
        <v>3</v>
      </c>
      <c r="F34">
        <v>1085</v>
      </c>
      <c r="G34" s="35">
        <v>1125</v>
      </c>
      <c r="H34" s="5">
        <v>997.93635357219455</v>
      </c>
      <c r="I34" s="5">
        <v>997.93641818932065</v>
      </c>
      <c r="J34" s="5">
        <v>997.92106750510925</v>
      </c>
      <c r="K34" s="5">
        <v>1053.272857142857</v>
      </c>
      <c r="L34" s="5">
        <v>1121.9114947919761</v>
      </c>
      <c r="M34" s="5">
        <v>1125</v>
      </c>
      <c r="N34" s="5">
        <v>1136.8987857562311</v>
      </c>
      <c r="O34" s="5">
        <v>1122.236579955523</v>
      </c>
      <c r="P34">
        <v>1082.3670940723389</v>
      </c>
      <c r="Q34" s="5">
        <v>992.80771968927604</v>
      </c>
      <c r="R34" s="5">
        <v>1124.641845703125</v>
      </c>
      <c r="S34" s="5">
        <v>1024.1453857421875</v>
      </c>
      <c r="T34" s="5">
        <v>1139.7584380600542</v>
      </c>
      <c r="U34" s="5">
        <v>1090.3101759133272</v>
      </c>
      <c r="V34" s="5">
        <v>919.562469477646</v>
      </c>
    </row>
    <row r="35" spans="1:25">
      <c r="A35">
        <v>165</v>
      </c>
      <c r="B35">
        <v>2.37</v>
      </c>
      <c r="C35">
        <v>287.5</v>
      </c>
      <c r="D35">
        <v>24.16</v>
      </c>
      <c r="E35">
        <v>3.7272727272727271</v>
      </c>
      <c r="F35">
        <v>996</v>
      </c>
      <c r="G35" s="35">
        <v>1453.5456047889541</v>
      </c>
      <c r="H35" s="5">
        <v>1491.098891586644</v>
      </c>
      <c r="I35" s="5">
        <v>1491.098923181285</v>
      </c>
      <c r="J35" s="5">
        <v>1491.139956717718</v>
      </c>
      <c r="K35" s="5">
        <v>1718.55</v>
      </c>
      <c r="L35" s="5">
        <v>1565.962722193533</v>
      </c>
      <c r="M35" s="5">
        <v>1464.9517623459151</v>
      </c>
      <c r="N35" s="5">
        <v>1312.6161524061961</v>
      </c>
      <c r="O35" s="5">
        <v>1770.746907404038</v>
      </c>
      <c r="P35">
        <v>1413.5968288388949</v>
      </c>
      <c r="Q35" s="5">
        <v>1364.628359107367</v>
      </c>
      <c r="R35" s="5">
        <v>1639.138427734375</v>
      </c>
      <c r="S35" s="5">
        <v>1407.0625</v>
      </c>
      <c r="T35" s="5">
        <v>1128.4022442674536</v>
      </c>
      <c r="U35" s="5">
        <v>1051.3101136789057</v>
      </c>
      <c r="V35" s="5">
        <v>911.02719618821391</v>
      </c>
      <c r="W35" s="5">
        <v>875.67538692641699</v>
      </c>
      <c r="Y35" s="5">
        <v>802.80228199369765</v>
      </c>
    </row>
    <row r="36" spans="1:25">
      <c r="A36">
        <v>320</v>
      </c>
      <c r="B36">
        <v>7</v>
      </c>
      <c r="C36">
        <v>249.9</v>
      </c>
      <c r="D36">
        <v>30.652345458641939</v>
      </c>
      <c r="E36">
        <v>1.625</v>
      </c>
      <c r="F36">
        <v>6384</v>
      </c>
      <c r="G36" s="35">
        <v>6044.9629555847787</v>
      </c>
      <c r="H36" s="5">
        <v>7552.7621173410062</v>
      </c>
      <c r="I36" s="5">
        <v>7552.7616998122139</v>
      </c>
      <c r="J36" s="5">
        <v>7552.797739384232</v>
      </c>
      <c r="K36" s="5">
        <v>7873.8515052331086</v>
      </c>
      <c r="L36" s="5">
        <v>6143.2176854953159</v>
      </c>
      <c r="M36" s="5">
        <v>6459.3235276298537</v>
      </c>
      <c r="N36" s="5">
        <v>7486.40420742282</v>
      </c>
      <c r="O36" s="5">
        <v>6001.344932713394</v>
      </c>
      <c r="P36">
        <v>6120.4081246240121</v>
      </c>
      <c r="Q36" s="5">
        <v>6940.1532562464135</v>
      </c>
      <c r="R36" s="5">
        <v>6016.29296875</v>
      </c>
      <c r="S36" s="5">
        <v>5578.92626953125</v>
      </c>
      <c r="T36" s="5">
        <v>5698.9512252969553</v>
      </c>
      <c r="U36" s="5">
        <v>5040.8136300073775</v>
      </c>
      <c r="V36" s="5">
        <v>4375.5799815541623</v>
      </c>
      <c r="W36" s="5">
        <v>4538.0143910314182</v>
      </c>
      <c r="X36" s="5">
        <v>5104.7204287774621</v>
      </c>
      <c r="Y36" s="5">
        <v>3854.734805291454</v>
      </c>
    </row>
    <row r="37" spans="1:25">
      <c r="A37">
        <v>114.3</v>
      </c>
      <c r="B37">
        <v>3.35</v>
      </c>
      <c r="C37">
        <v>287.33</v>
      </c>
      <c r="D37">
        <v>58.68</v>
      </c>
      <c r="E37">
        <v>6.99912510936133</v>
      </c>
      <c r="F37">
        <v>868.5</v>
      </c>
      <c r="G37" s="35">
        <v>834.72703058966101</v>
      </c>
      <c r="H37" s="5">
        <v>1052.4284027439321</v>
      </c>
      <c r="I37" s="5">
        <v>1052.4282081090521</v>
      </c>
      <c r="J37" s="5">
        <v>1052.359517385458</v>
      </c>
      <c r="K37" s="5">
        <v>767.57145591132382</v>
      </c>
      <c r="L37" s="5">
        <v>872.36486393095686</v>
      </c>
      <c r="M37" s="5">
        <v>924.68308693733263</v>
      </c>
      <c r="N37" s="5">
        <v>906.69962953567438</v>
      </c>
      <c r="O37" s="5">
        <v>898.79843070488369</v>
      </c>
      <c r="P37">
        <v>880.33617576358768</v>
      </c>
      <c r="Q37" s="5">
        <v>1082.99149530809</v>
      </c>
      <c r="R37" s="5">
        <v>935.3046875</v>
      </c>
      <c r="S37" s="5">
        <v>974.9354248046875</v>
      </c>
      <c r="T37" s="5">
        <v>945.31739468605554</v>
      </c>
      <c r="U37" s="5">
        <v>1077.109185407259</v>
      </c>
      <c r="V37" s="5">
        <v>928.00413161159634</v>
      </c>
      <c r="Y37" s="5">
        <v>807.93821559084313</v>
      </c>
    </row>
    <row r="38" spans="1:25">
      <c r="A38">
        <v>112.56</v>
      </c>
      <c r="B38">
        <v>2.89</v>
      </c>
      <c r="C38">
        <v>360</v>
      </c>
      <c r="D38">
        <v>29.66351867545038</v>
      </c>
      <c r="E38">
        <v>3.020611229566454</v>
      </c>
      <c r="F38">
        <v>770</v>
      </c>
      <c r="G38" s="35">
        <v>769.86891226792807</v>
      </c>
      <c r="H38" s="5">
        <v>273.12373715574267</v>
      </c>
      <c r="I38" s="5">
        <v>273.12410295258178</v>
      </c>
      <c r="J38" s="5">
        <v>273.17515197164181</v>
      </c>
      <c r="K38" s="5">
        <v>741.5</v>
      </c>
      <c r="L38" s="5">
        <v>743.64133972541822</v>
      </c>
      <c r="M38" s="5">
        <v>738.97611065983619</v>
      </c>
      <c r="N38" s="5">
        <v>763.02831090862253</v>
      </c>
      <c r="O38" s="5">
        <v>754.56634948595934</v>
      </c>
      <c r="P38">
        <v>758.9694680392671</v>
      </c>
      <c r="Q38" s="5">
        <v>809.3574839737081</v>
      </c>
      <c r="R38" s="5">
        <v>780.72613525390625</v>
      </c>
      <c r="S38" s="5">
        <v>803.5867919921875</v>
      </c>
      <c r="T38" s="5">
        <v>913.47329396452164</v>
      </c>
      <c r="U38" s="5">
        <v>846.34100131914931</v>
      </c>
      <c r="V38" s="5">
        <v>748.22726443020463</v>
      </c>
      <c r="W38" s="5">
        <v>763.77729820056891</v>
      </c>
      <c r="X38" s="5">
        <v>784.35866640708764</v>
      </c>
      <c r="Y38" s="5">
        <v>606.49788630398723</v>
      </c>
    </row>
    <row r="39" spans="1:25">
      <c r="A39">
        <v>337</v>
      </c>
      <c r="B39">
        <v>6.47</v>
      </c>
      <c r="C39">
        <v>823</v>
      </c>
      <c r="D39">
        <v>41.1</v>
      </c>
      <c r="E39">
        <v>3</v>
      </c>
      <c r="F39">
        <v>9835</v>
      </c>
      <c r="G39" s="35">
        <v>9668</v>
      </c>
      <c r="H39" s="5">
        <v>10228.202150644909</v>
      </c>
      <c r="I39" s="5">
        <v>10228.200830709109</v>
      </c>
      <c r="J39" s="5">
        <v>10228.073408563179</v>
      </c>
      <c r="K39" s="5">
        <v>9716.0769230769238</v>
      </c>
      <c r="L39" s="5">
        <v>9084.0096741028992</v>
      </c>
      <c r="M39" s="5">
        <v>9668</v>
      </c>
      <c r="N39" s="5">
        <v>9711.2929564718233</v>
      </c>
      <c r="O39" s="5">
        <v>9698.0169955933943</v>
      </c>
      <c r="P39">
        <v>9745.0431494792429</v>
      </c>
      <c r="Q39" s="5">
        <v>8701.198851424695</v>
      </c>
      <c r="R39" s="5">
        <v>9680.98046875</v>
      </c>
      <c r="S39" s="5">
        <v>9691.546875</v>
      </c>
      <c r="T39" s="5">
        <v>10034.838780922535</v>
      </c>
      <c r="U39" s="5">
        <v>11794.300004110828</v>
      </c>
      <c r="V39" s="5">
        <v>10983.404536993812</v>
      </c>
      <c r="W39" s="5">
        <v>9530.1669790465312</v>
      </c>
    </row>
    <row r="40" spans="1:25">
      <c r="A40">
        <v>152.60319999999999</v>
      </c>
      <c r="B40">
        <v>3.1496</v>
      </c>
      <c r="C40">
        <v>415.1333358288</v>
      </c>
      <c r="D40">
        <v>23.097436888000001</v>
      </c>
      <c r="E40">
        <v>1.9981691078561921</v>
      </c>
      <c r="F40">
        <v>1201.019832</v>
      </c>
      <c r="G40" s="35">
        <v>1178.539622324663</v>
      </c>
      <c r="H40" s="5">
        <v>1633.8552105552551</v>
      </c>
      <c r="I40" s="5">
        <v>1633.855421973049</v>
      </c>
      <c r="J40" s="5">
        <v>1633.9113492240931</v>
      </c>
      <c r="K40" s="5">
        <v>1368.158333333334</v>
      </c>
      <c r="L40" s="5">
        <v>1435.4404812205939</v>
      </c>
      <c r="M40" s="5">
        <v>1571.7116008576879</v>
      </c>
      <c r="N40" s="5">
        <v>1421.757789232267</v>
      </c>
      <c r="O40" s="5">
        <v>1415.3964637798031</v>
      </c>
      <c r="P40">
        <v>1447.468963181165</v>
      </c>
      <c r="Q40" s="5">
        <v>1359.4926103293719</v>
      </c>
      <c r="R40" s="5">
        <v>1283.1142578125</v>
      </c>
      <c r="S40" s="5">
        <v>1116.9342041015625</v>
      </c>
      <c r="T40" s="5">
        <v>1372.2648747819917</v>
      </c>
      <c r="U40" s="5">
        <v>1382.8205548541953</v>
      </c>
      <c r="V40" s="5">
        <v>1228.8159659506189</v>
      </c>
      <c r="W40" s="5">
        <v>1102.7375303940371</v>
      </c>
      <c r="Y40" s="5">
        <v>979.55837750564751</v>
      </c>
    </row>
    <row r="41" spans="1:25">
      <c r="A41">
        <v>150</v>
      </c>
      <c r="B41">
        <v>1.2</v>
      </c>
      <c r="C41">
        <v>253.3</v>
      </c>
      <c r="D41">
        <v>19.224</v>
      </c>
      <c r="E41">
        <v>4.1333333333333337</v>
      </c>
      <c r="F41">
        <v>647</v>
      </c>
      <c r="G41" s="35">
        <v>469.88944439665272</v>
      </c>
      <c r="H41" s="5">
        <v>648.52607207434744</v>
      </c>
      <c r="I41" s="5">
        <v>648.52608103912553</v>
      </c>
      <c r="J41" s="5">
        <v>648.57664814383247</v>
      </c>
      <c r="K41" s="5">
        <v>972.24444444444453</v>
      </c>
      <c r="L41" s="5">
        <v>849.94157752353203</v>
      </c>
      <c r="M41" s="5">
        <v>813.21221682847897</v>
      </c>
      <c r="N41" s="5">
        <v>669.03182723141799</v>
      </c>
      <c r="O41" s="5">
        <v>739.43076204804163</v>
      </c>
      <c r="P41">
        <v>658.50563343970418</v>
      </c>
      <c r="Q41" s="5">
        <v>755.65347299821894</v>
      </c>
      <c r="R41" s="5">
        <v>680.49560546875</v>
      </c>
      <c r="S41" s="5">
        <v>782.55029296875</v>
      </c>
      <c r="T41" s="5">
        <v>665.74309410122135</v>
      </c>
      <c r="U41" s="5">
        <v>559.12100768758069</v>
      </c>
      <c r="V41" s="5">
        <v>476.05138732469845</v>
      </c>
      <c r="W41" s="5">
        <v>469.55026627880864</v>
      </c>
    </row>
    <row r="42" spans="1:25">
      <c r="A42">
        <v>108</v>
      </c>
      <c r="B42">
        <v>4.5</v>
      </c>
      <c r="C42">
        <v>358</v>
      </c>
      <c r="D42">
        <v>61.920000000000009</v>
      </c>
      <c r="E42">
        <v>3.5</v>
      </c>
      <c r="F42">
        <v>1535</v>
      </c>
      <c r="G42" s="35">
        <v>1518</v>
      </c>
      <c r="H42" s="5">
        <v>1135.373063068198</v>
      </c>
      <c r="I42" s="5">
        <v>1135.3733108615261</v>
      </c>
      <c r="J42" s="5">
        <v>1135.369459608351</v>
      </c>
      <c r="K42" s="5">
        <v>1325.606839272727</v>
      </c>
      <c r="L42" s="5">
        <v>1425.1787341429381</v>
      </c>
      <c r="M42" s="5">
        <v>1514.65524020471</v>
      </c>
      <c r="N42" s="5">
        <v>1429.884849692831</v>
      </c>
      <c r="O42" s="5">
        <v>1446.3771977799649</v>
      </c>
      <c r="P42">
        <v>1418.1679873832959</v>
      </c>
      <c r="Q42" s="5">
        <v>1498.6018610717019</v>
      </c>
      <c r="R42" s="5">
        <v>1509.788696289062</v>
      </c>
      <c r="S42" s="5">
        <v>1301.122314453125</v>
      </c>
      <c r="T42" s="5">
        <v>1393.2377518198664</v>
      </c>
      <c r="U42" s="5">
        <v>1325.236407380806</v>
      </c>
      <c r="V42" s="5">
        <v>1162.1636835552797</v>
      </c>
      <c r="W42" s="5">
        <v>1251.1398696233855</v>
      </c>
      <c r="Y42" s="5">
        <v>966.1726650299023</v>
      </c>
    </row>
    <row r="43" spans="1:25">
      <c r="A43">
        <v>114.3</v>
      </c>
      <c r="B43">
        <v>3.35</v>
      </c>
      <c r="C43">
        <v>287.33</v>
      </c>
      <c r="D43">
        <v>33.489107602417988</v>
      </c>
      <c r="E43">
        <v>7</v>
      </c>
      <c r="F43">
        <v>631.5</v>
      </c>
      <c r="G43" s="35">
        <v>639.85969671648206</v>
      </c>
      <c r="H43" s="5">
        <v>662.99907846978249</v>
      </c>
      <c r="I43" s="5">
        <v>662.99897916121654</v>
      </c>
      <c r="J43" s="5">
        <v>662.94665169175391</v>
      </c>
      <c r="K43" s="5">
        <v>776.45418598313825</v>
      </c>
      <c r="L43" s="5">
        <v>701.0918630057065</v>
      </c>
      <c r="M43" s="5">
        <v>654.1631191930262</v>
      </c>
      <c r="N43" s="5">
        <v>666.11004293944961</v>
      </c>
      <c r="O43" s="5">
        <v>632.86181199285306</v>
      </c>
      <c r="P43">
        <v>667.78363523648682</v>
      </c>
      <c r="Q43" s="5">
        <v>777.9937787561106</v>
      </c>
      <c r="R43" s="5">
        <v>640.4698486328125</v>
      </c>
      <c r="S43" s="5">
        <v>909.00830078125</v>
      </c>
      <c r="T43" s="5">
        <v>752.84727042932252</v>
      </c>
      <c r="U43" s="5">
        <v>848.0445859208412</v>
      </c>
      <c r="V43" s="5">
        <v>744.75245202246185</v>
      </c>
      <c r="W43" s="5">
        <v>796.84440093923831</v>
      </c>
      <c r="X43" s="5">
        <v>662.15091355603499</v>
      </c>
      <c r="Y43" s="5">
        <v>604.01655354014179</v>
      </c>
    </row>
    <row r="44" spans="1:25">
      <c r="A44">
        <v>204</v>
      </c>
      <c r="B44">
        <v>2</v>
      </c>
      <c r="C44">
        <v>235.4</v>
      </c>
      <c r="D44">
        <v>26.01869872620826</v>
      </c>
      <c r="E44">
        <v>4.117647058823529</v>
      </c>
      <c r="F44">
        <v>1638</v>
      </c>
      <c r="G44" s="35">
        <v>1626.6151695046069</v>
      </c>
      <c r="H44" s="5">
        <v>2594.7676810554381</v>
      </c>
      <c r="I44" s="5">
        <v>2594.7673925775898</v>
      </c>
      <c r="J44" s="5">
        <v>2594.8211167564768</v>
      </c>
      <c r="K44" s="5">
        <v>1370.658317013515</v>
      </c>
      <c r="L44" s="5">
        <v>1569.8219353592881</v>
      </c>
      <c r="M44" s="5">
        <v>1666.016181229774</v>
      </c>
      <c r="N44" s="5">
        <v>1439.340553178127</v>
      </c>
      <c r="O44" s="5">
        <v>1538.5549481417011</v>
      </c>
      <c r="P44">
        <v>1500.800822266752</v>
      </c>
      <c r="Q44" s="5">
        <v>1522.0455189073</v>
      </c>
      <c r="R44" s="5">
        <v>1521.94140625</v>
      </c>
      <c r="S44" s="5">
        <v>1371.4931640625</v>
      </c>
      <c r="T44" s="5">
        <v>1310.4853872670844</v>
      </c>
      <c r="U44" s="5">
        <v>1301.4097181477287</v>
      </c>
      <c r="V44" s="5">
        <v>1101.4758660606412</v>
      </c>
      <c r="W44" s="5">
        <v>1092.6787932440996</v>
      </c>
      <c r="Y44" s="5">
        <v>1060.749894086983</v>
      </c>
    </row>
    <row r="45" spans="1:25">
      <c r="A45">
        <v>100</v>
      </c>
      <c r="B45">
        <v>3</v>
      </c>
      <c r="C45">
        <v>303.5</v>
      </c>
      <c r="D45">
        <v>32.457457285750117</v>
      </c>
      <c r="E45">
        <v>3</v>
      </c>
      <c r="F45">
        <v>814</v>
      </c>
      <c r="G45" s="35">
        <v>769.33333333333337</v>
      </c>
      <c r="H45" s="5">
        <v>-192.69896740544891</v>
      </c>
      <c r="I45" s="5">
        <v>-192.69851177521201</v>
      </c>
      <c r="J45" s="5">
        <v>-192.64727130117939</v>
      </c>
      <c r="K45" s="5">
        <v>743.71428571428567</v>
      </c>
      <c r="L45" s="5">
        <v>762.78019028055428</v>
      </c>
      <c r="M45" s="5">
        <v>768.21834884777081</v>
      </c>
      <c r="N45" s="5">
        <v>763.7260047483486</v>
      </c>
      <c r="O45" s="5">
        <v>775.12507884394904</v>
      </c>
      <c r="P45">
        <v>760.40259755656268</v>
      </c>
      <c r="Q45" s="5">
        <v>726.0452294958327</v>
      </c>
      <c r="R45" s="5">
        <v>766.99505615234375</v>
      </c>
      <c r="S45" s="5">
        <v>719.502685546875</v>
      </c>
      <c r="T45" s="5">
        <v>784.62523113556176</v>
      </c>
      <c r="U45" s="5">
        <v>674.73396984035924</v>
      </c>
      <c r="V45" s="5">
        <v>594.58538281739277</v>
      </c>
      <c r="W45" s="5">
        <v>629.45225878916744</v>
      </c>
      <c r="X45" s="5">
        <v>629.33383803399397</v>
      </c>
      <c r="Y45" s="5">
        <v>488.35470424307027</v>
      </c>
    </row>
    <row r="46" spans="1:25">
      <c r="A46">
        <v>133</v>
      </c>
      <c r="B46">
        <v>3.5</v>
      </c>
      <c r="C46">
        <v>352</v>
      </c>
      <c r="D46">
        <v>67.760000000000005</v>
      </c>
      <c r="E46">
        <v>3.496240601503759</v>
      </c>
      <c r="F46">
        <v>1991</v>
      </c>
      <c r="G46" s="35">
        <v>1978.5</v>
      </c>
      <c r="H46" s="5">
        <v>1745.683779709271</v>
      </c>
      <c r="I46" s="5">
        <v>1745.6838167493429</v>
      </c>
      <c r="J46" s="5">
        <v>1745.677168173971</v>
      </c>
      <c r="K46" s="5">
        <v>2083</v>
      </c>
      <c r="L46" s="5">
        <v>1951.8464882617391</v>
      </c>
      <c r="M46" s="5">
        <v>1977.7541608876561</v>
      </c>
      <c r="N46" s="5">
        <v>1964.705346902648</v>
      </c>
      <c r="O46" s="5">
        <v>1976.26652727173</v>
      </c>
      <c r="P46">
        <v>1940.422843902131</v>
      </c>
      <c r="Q46" s="5">
        <v>1905.521081588777</v>
      </c>
      <c r="R46" s="5">
        <v>1973.33935546875</v>
      </c>
      <c r="S46" s="5">
        <v>1775.728515625</v>
      </c>
      <c r="T46" s="5">
        <v>1723.7312177618255</v>
      </c>
      <c r="U46" s="5">
        <v>1656.8782274499674</v>
      </c>
      <c r="V46" s="5">
        <v>1424.9223188195651</v>
      </c>
      <c r="W46" s="5">
        <v>1614.8113194501209</v>
      </c>
      <c r="Y46" s="5">
        <v>1287.7375404375209</v>
      </c>
    </row>
    <row r="47" spans="1:25">
      <c r="A47">
        <v>300</v>
      </c>
      <c r="B47">
        <v>2.96</v>
      </c>
      <c r="C47">
        <v>279</v>
      </c>
      <c r="D47">
        <v>41.1</v>
      </c>
      <c r="E47">
        <v>3</v>
      </c>
      <c r="F47">
        <v>3277</v>
      </c>
      <c r="G47" s="35">
        <v>3152</v>
      </c>
      <c r="H47" s="5">
        <v>6208.7465960128229</v>
      </c>
      <c r="I47" s="5">
        <v>6208.745847938837</v>
      </c>
      <c r="J47" s="5">
        <v>6208.8073139251319</v>
      </c>
      <c r="K47" s="5">
        <v>3024.571428571428</v>
      </c>
      <c r="L47" s="5">
        <v>3544.2027663772628</v>
      </c>
      <c r="M47" s="5">
        <v>3152</v>
      </c>
      <c r="N47" s="5">
        <v>3282.2353010351162</v>
      </c>
      <c r="O47" s="5">
        <v>3228.217084717437</v>
      </c>
      <c r="P47">
        <v>3208.774803778439</v>
      </c>
      <c r="Q47" s="5">
        <v>3158.253335512708</v>
      </c>
      <c r="R47" s="5">
        <v>3150.723876953125</v>
      </c>
      <c r="S47" s="5">
        <v>3472.967529296875</v>
      </c>
      <c r="T47" s="5">
        <v>3597.3915999744554</v>
      </c>
      <c r="U47" s="5">
        <v>4040.1241984971325</v>
      </c>
      <c r="V47" s="5">
        <v>3387.7525964398023</v>
      </c>
      <c r="W47" s="5">
        <v>3309.4677693220337</v>
      </c>
      <c r="Y47" s="5">
        <v>3390.3525451857959</v>
      </c>
    </row>
    <row r="48" spans="1:25">
      <c r="A48">
        <v>165.2</v>
      </c>
      <c r="B48">
        <v>4.17</v>
      </c>
      <c r="C48">
        <v>358.7</v>
      </c>
      <c r="D48">
        <v>40.9</v>
      </c>
      <c r="E48">
        <v>4</v>
      </c>
      <c r="F48">
        <v>1594</v>
      </c>
      <c r="G48" s="35">
        <v>1792.203365953563</v>
      </c>
      <c r="H48" s="5">
        <v>2604.2248794150692</v>
      </c>
      <c r="I48" s="5">
        <v>2604.2247995843668</v>
      </c>
      <c r="J48" s="5">
        <v>2604.2159203477868</v>
      </c>
      <c r="K48" s="5">
        <v>1798.246414071154</v>
      </c>
      <c r="L48" s="5">
        <v>1819.959877974853</v>
      </c>
      <c r="M48" s="5">
        <v>1762.312902240616</v>
      </c>
      <c r="N48" s="5">
        <v>1930.280698775751</v>
      </c>
      <c r="O48" s="5">
        <v>1998.620933097272</v>
      </c>
      <c r="P48">
        <v>2012.050446699988</v>
      </c>
      <c r="Q48" s="5">
        <v>1640.9472151315199</v>
      </c>
      <c r="R48" s="5">
        <v>1947.3046875</v>
      </c>
      <c r="S48" s="5">
        <v>1998.7415771484375</v>
      </c>
      <c r="T48" s="5">
        <v>2014.6232348605129</v>
      </c>
      <c r="U48" s="5">
        <v>2016.2380620463493</v>
      </c>
      <c r="V48" s="5">
        <v>1763.2717651916462</v>
      </c>
      <c r="W48" s="5">
        <v>1867.9456756903617</v>
      </c>
      <c r="X48" s="5">
        <v>1785.204610859477</v>
      </c>
      <c r="Y48" s="5">
        <v>1487.016397711192</v>
      </c>
    </row>
    <row r="49" spans="1:25">
      <c r="A49">
        <v>168.4</v>
      </c>
      <c r="B49">
        <v>4.5199999999999996</v>
      </c>
      <c r="C49">
        <v>302</v>
      </c>
      <c r="D49">
        <v>43.8</v>
      </c>
      <c r="E49">
        <v>4.8277909738717337</v>
      </c>
      <c r="F49">
        <v>2233</v>
      </c>
      <c r="G49" s="35">
        <v>2108.0216520408521</v>
      </c>
      <c r="H49" s="5">
        <v>2684.6842286094688</v>
      </c>
      <c r="I49" s="5">
        <v>2684.684084869129</v>
      </c>
      <c r="J49" s="5">
        <v>2684.6609257165892</v>
      </c>
      <c r="K49" s="5">
        <v>1799.6181818181819</v>
      </c>
      <c r="L49" s="5">
        <v>1990.4492673918371</v>
      </c>
      <c r="M49" s="5">
        <v>2040.295567729986</v>
      </c>
      <c r="N49" s="5">
        <v>2076.8227407282302</v>
      </c>
      <c r="O49" s="5">
        <v>2093.9182391219638</v>
      </c>
      <c r="P49">
        <v>1982.531903937992</v>
      </c>
      <c r="Q49" s="5">
        <v>1853.6543656328879</v>
      </c>
      <c r="R49" s="5">
        <v>2080.0322265625</v>
      </c>
      <c r="S49" s="5">
        <v>1882.2491455078125</v>
      </c>
      <c r="T49" s="5">
        <v>1926.2570046045107</v>
      </c>
      <c r="U49" s="5">
        <v>2012.1284834181661</v>
      </c>
      <c r="V49" s="5">
        <v>1749.0180397657525</v>
      </c>
      <c r="W49" s="5">
        <v>1903.1070439760517</v>
      </c>
      <c r="X49" s="5">
        <v>1740.99477539025</v>
      </c>
      <c r="Y49" s="5">
        <v>1504.544690691635</v>
      </c>
    </row>
    <row r="50" spans="1:25">
      <c r="A50">
        <v>133.1</v>
      </c>
      <c r="B50">
        <v>4.5</v>
      </c>
      <c r="C50">
        <v>324.3</v>
      </c>
      <c r="D50">
        <v>42.7</v>
      </c>
      <c r="E50">
        <v>2.9827197595792638</v>
      </c>
      <c r="F50">
        <v>1440</v>
      </c>
      <c r="G50" s="35">
        <v>1382.2746401475649</v>
      </c>
      <c r="H50" s="5">
        <v>1511.6924481798401</v>
      </c>
      <c r="I50" s="5">
        <v>1511.6927319208089</v>
      </c>
      <c r="J50" s="5">
        <v>1511.716921917337</v>
      </c>
      <c r="K50" s="5">
        <v>1325.5666666666671</v>
      </c>
      <c r="L50" s="5">
        <v>1511.236205701098</v>
      </c>
      <c r="M50" s="5">
        <v>1480.7145812297731</v>
      </c>
      <c r="N50" s="5">
        <v>1508.1754152622759</v>
      </c>
      <c r="O50" s="5">
        <v>1589.9482977156381</v>
      </c>
      <c r="P50">
        <v>1509.885557586287</v>
      </c>
      <c r="Q50" s="5">
        <v>1423.9929099500889</v>
      </c>
      <c r="R50" s="5">
        <v>1546.036010742188</v>
      </c>
      <c r="S50" s="5">
        <v>1523.1085205078125</v>
      </c>
      <c r="T50" s="5">
        <v>1521.352714733413</v>
      </c>
      <c r="U50" s="5">
        <v>1471.6255174039072</v>
      </c>
      <c r="V50" s="5">
        <v>1293.2115572075384</v>
      </c>
      <c r="W50" s="5">
        <v>1376.237661904486</v>
      </c>
      <c r="X50" s="5">
        <v>1360.4755095557889</v>
      </c>
      <c r="Y50" s="5">
        <v>1072.8778759789211</v>
      </c>
    </row>
    <row r="51" spans="1:25">
      <c r="A51">
        <v>169.3</v>
      </c>
      <c r="B51">
        <v>2.62</v>
      </c>
      <c r="C51">
        <v>338.1</v>
      </c>
      <c r="D51">
        <v>37.1</v>
      </c>
      <c r="E51">
        <v>1.80153573538098</v>
      </c>
      <c r="F51">
        <v>1308</v>
      </c>
      <c r="G51" s="35">
        <v>1301.2371455072009</v>
      </c>
      <c r="H51" s="5">
        <v>1933.3104206363359</v>
      </c>
      <c r="I51" s="5">
        <v>1933.3105861204381</v>
      </c>
      <c r="J51" s="5">
        <v>1933.3803519145879</v>
      </c>
      <c r="K51" s="5">
        <v>1394.632537084862</v>
      </c>
      <c r="L51" s="5">
        <v>1375.1982675459531</v>
      </c>
      <c r="M51" s="5">
        <v>1359.99998812017</v>
      </c>
      <c r="N51" s="5">
        <v>1440.492672104079</v>
      </c>
      <c r="O51" s="5">
        <v>1361.5317582883731</v>
      </c>
      <c r="P51">
        <v>1475.0266002538981</v>
      </c>
      <c r="Q51" s="5">
        <v>1509.262712287476</v>
      </c>
      <c r="R51" s="5">
        <v>1326.737670898438</v>
      </c>
      <c r="S51" s="5">
        <v>1359.806396484375</v>
      </c>
      <c r="T51" s="5">
        <v>1460.3596530643445</v>
      </c>
      <c r="U51" s="5">
        <v>1535.7174262031881</v>
      </c>
      <c r="V51" s="5">
        <v>1321.7043575275784</v>
      </c>
      <c r="W51" s="5">
        <v>1289.8577387126263</v>
      </c>
      <c r="X51" s="5">
        <v>1533.6117131353519</v>
      </c>
      <c r="Y51" s="5">
        <v>1205.3110992616901</v>
      </c>
    </row>
    <row r="52" spans="1:25">
      <c r="A52">
        <v>47.28</v>
      </c>
      <c r="B52">
        <v>1.87</v>
      </c>
      <c r="C52">
        <v>360</v>
      </c>
      <c r="D52">
        <v>24.801811831230211</v>
      </c>
      <c r="E52">
        <v>7.1912013536379016</v>
      </c>
      <c r="F52">
        <v>176</v>
      </c>
      <c r="G52" s="35">
        <v>180.29932050641929</v>
      </c>
      <c r="H52" s="5">
        <v>-1861.9955346366271</v>
      </c>
      <c r="I52" s="5">
        <v>-1861.995338083047</v>
      </c>
      <c r="J52" s="5">
        <v>-1862.0484610202291</v>
      </c>
      <c r="K52" s="5">
        <v>193.6</v>
      </c>
      <c r="L52" s="5">
        <v>167.0448717948718</v>
      </c>
      <c r="M52" s="5">
        <v>163.68284789644011</v>
      </c>
      <c r="N52" s="5">
        <v>187.89671888931571</v>
      </c>
      <c r="O52" s="5">
        <v>178.41729404203551</v>
      </c>
      <c r="P52">
        <v>178.47718214841561</v>
      </c>
      <c r="Q52" s="5">
        <v>172.51735950175589</v>
      </c>
      <c r="R52" s="5">
        <v>173.01628112792969</v>
      </c>
      <c r="S52" s="5">
        <v>381.3656005859375</v>
      </c>
      <c r="T52" s="5">
        <v>150.97477329223267</v>
      </c>
      <c r="U52" s="5">
        <v>192.50993043630365</v>
      </c>
      <c r="V52" s="5">
        <v>172.75456515706674</v>
      </c>
      <c r="W52" s="5">
        <v>163.67819960635498</v>
      </c>
      <c r="Y52" s="5">
        <v>126.38879407817601</v>
      </c>
    </row>
    <row r="53" spans="1:25">
      <c r="A53">
        <v>166</v>
      </c>
      <c r="B53">
        <v>5</v>
      </c>
      <c r="C53">
        <v>274.60000000000002</v>
      </c>
      <c r="D53">
        <v>18.720078217418219</v>
      </c>
      <c r="E53">
        <v>3.975903614457831</v>
      </c>
      <c r="F53">
        <v>1714</v>
      </c>
      <c r="G53" s="35">
        <v>1848.666666666667</v>
      </c>
      <c r="H53" s="5">
        <v>2182.3735648634702</v>
      </c>
      <c r="I53" s="5">
        <v>2182.373689028032</v>
      </c>
      <c r="J53" s="5">
        <v>2182.396597889714</v>
      </c>
      <c r="K53" s="5">
        <v>1845.017711946015</v>
      </c>
      <c r="L53" s="5">
        <v>1884.542898785623</v>
      </c>
      <c r="M53" s="5">
        <v>1882.6813010457911</v>
      </c>
      <c r="N53" s="5">
        <v>1908.110309459086</v>
      </c>
      <c r="O53" s="5">
        <v>1888.866111901046</v>
      </c>
      <c r="P53">
        <v>1887.7301229818911</v>
      </c>
      <c r="Q53" s="5">
        <v>1769.399220765813</v>
      </c>
      <c r="R53" s="5">
        <v>1881.509521484375</v>
      </c>
      <c r="S53" s="5">
        <v>1867.66015625</v>
      </c>
      <c r="T53" s="5">
        <v>1679.9889098782562</v>
      </c>
      <c r="U53" s="5">
        <v>1482.8280124552666</v>
      </c>
      <c r="V53" s="5">
        <v>1323.3975976374068</v>
      </c>
      <c r="W53" s="5">
        <v>1267.3536181476302</v>
      </c>
    </row>
    <row r="54" spans="1:25">
      <c r="A54">
        <v>164.5</v>
      </c>
      <c r="B54">
        <v>2.34</v>
      </c>
      <c r="C54">
        <v>315</v>
      </c>
      <c r="D54">
        <v>37.3623262668659</v>
      </c>
      <c r="E54">
        <v>4.0121580547112474</v>
      </c>
      <c r="F54">
        <v>1731</v>
      </c>
      <c r="G54" s="35">
        <v>1698</v>
      </c>
      <c r="H54" s="5">
        <v>1887.663516067229</v>
      </c>
      <c r="I54" s="5">
        <v>1887.6633945468629</v>
      </c>
      <c r="J54" s="5">
        <v>1887.6777317127039</v>
      </c>
      <c r="K54" s="5">
        <v>1717.7872221118139</v>
      </c>
      <c r="L54" s="5">
        <v>1614.1736136979571</v>
      </c>
      <c r="M54" s="5">
        <v>1697.7526699029131</v>
      </c>
      <c r="N54" s="5">
        <v>1393.128396966729</v>
      </c>
      <c r="O54" s="5">
        <v>1568.437725203795</v>
      </c>
      <c r="P54">
        <v>1535.727172021149</v>
      </c>
      <c r="Q54" s="5">
        <v>1471.904425450246</v>
      </c>
      <c r="R54" s="5">
        <v>1695.377563476562</v>
      </c>
      <c r="S54" s="5">
        <v>1548.719970703125</v>
      </c>
      <c r="T54" s="5">
        <v>1375.6535502928887</v>
      </c>
      <c r="U54" s="5">
        <v>1357.848977756795</v>
      </c>
      <c r="V54" s="5">
        <v>1161.77385075194</v>
      </c>
      <c r="W54" s="5">
        <v>1153.4931782053111</v>
      </c>
      <c r="X54" s="5">
        <v>1247.7700994557681</v>
      </c>
      <c r="Y54" s="5">
        <v>1071.5239606117329</v>
      </c>
    </row>
    <row r="55" spans="1:25">
      <c r="A55">
        <v>131</v>
      </c>
      <c r="B55">
        <v>4</v>
      </c>
      <c r="C55">
        <v>306</v>
      </c>
      <c r="D55">
        <v>55.760000000000012</v>
      </c>
      <c r="E55">
        <v>3</v>
      </c>
      <c r="F55">
        <v>1469</v>
      </c>
      <c r="G55" s="35">
        <v>1464.081218274112</v>
      </c>
      <c r="H55" s="5">
        <v>1483.1891009194039</v>
      </c>
      <c r="I55" s="5">
        <v>1483.189339784723</v>
      </c>
      <c r="J55" s="5">
        <v>1483.210894156098</v>
      </c>
      <c r="K55" s="5">
        <v>1506.272727272727</v>
      </c>
      <c r="L55" s="5">
        <v>1467.003351902727</v>
      </c>
      <c r="M55" s="5">
        <v>1468.175208044383</v>
      </c>
      <c r="N55" s="5">
        <v>1438.012376252816</v>
      </c>
      <c r="O55" s="5">
        <v>1429.1115285270871</v>
      </c>
      <c r="P55">
        <v>1386.286030671934</v>
      </c>
      <c r="Q55" s="5">
        <v>1444.291162363156</v>
      </c>
      <c r="R55" s="5">
        <v>1445.369995117188</v>
      </c>
      <c r="S55" s="5">
        <v>1497.82080078125</v>
      </c>
      <c r="T55" s="5">
        <v>1520.7535045219674</v>
      </c>
      <c r="U55" s="5">
        <v>1453.6903818715368</v>
      </c>
      <c r="V55" s="5">
        <v>1259.3404644252266</v>
      </c>
      <c r="W55" s="5">
        <v>1403.8978063947002</v>
      </c>
      <c r="X55" s="5">
        <v>1355.2546295970169</v>
      </c>
      <c r="Y55" s="5">
        <v>1109.305388772148</v>
      </c>
    </row>
    <row r="56" spans="1:25">
      <c r="A56">
        <v>133</v>
      </c>
      <c r="B56">
        <v>5</v>
      </c>
      <c r="C56">
        <v>306</v>
      </c>
      <c r="D56">
        <v>52.960000000000008</v>
      </c>
      <c r="E56">
        <v>3</v>
      </c>
      <c r="F56">
        <v>1661</v>
      </c>
      <c r="G56" s="35">
        <v>1611.9886573463471</v>
      </c>
      <c r="H56" s="5">
        <v>1710.250465317519</v>
      </c>
      <c r="I56" s="5">
        <v>1710.250715806405</v>
      </c>
      <c r="J56" s="5">
        <v>1710.271657300397</v>
      </c>
      <c r="K56" s="5">
        <v>1481.285714285714</v>
      </c>
      <c r="L56" s="5">
        <v>1615.1661165608459</v>
      </c>
      <c r="M56" s="5">
        <v>1624.7772751789739</v>
      </c>
      <c r="N56" s="5">
        <v>1608.5607895285859</v>
      </c>
      <c r="O56" s="5">
        <v>1574.580921072353</v>
      </c>
      <c r="P56">
        <v>1550.9163076339321</v>
      </c>
      <c r="Q56" s="5">
        <v>1594.5750747973129</v>
      </c>
      <c r="R56" s="5">
        <v>1630.237426757812</v>
      </c>
      <c r="S56" s="5">
        <v>1629.607666015625</v>
      </c>
      <c r="T56" s="5">
        <v>1660.9351756135809</v>
      </c>
      <c r="U56" s="5">
        <v>1625.9902141435789</v>
      </c>
      <c r="V56" s="5">
        <v>1421.1843224765607</v>
      </c>
      <c r="W56" s="5">
        <v>1536.6217108626468</v>
      </c>
      <c r="X56" s="5">
        <v>1500.9383215188641</v>
      </c>
      <c r="Y56" s="5">
        <v>1204.5702456851729</v>
      </c>
    </row>
    <row r="57" spans="1:25">
      <c r="A57">
        <v>101.6</v>
      </c>
      <c r="B57">
        <v>3.03</v>
      </c>
      <c r="C57">
        <v>371</v>
      </c>
      <c r="D57">
        <v>40.200000000000003</v>
      </c>
      <c r="E57">
        <v>3.0019685039370079</v>
      </c>
      <c r="F57">
        <v>864</v>
      </c>
      <c r="G57" s="35">
        <v>747.97176359195248</v>
      </c>
      <c r="H57" s="5">
        <v>225.26609993043479</v>
      </c>
      <c r="I57" s="5">
        <v>225.2664495693798</v>
      </c>
      <c r="J57" s="5">
        <v>225.29877191237671</v>
      </c>
      <c r="K57" s="5">
        <v>730.52499999999998</v>
      </c>
      <c r="L57" s="5">
        <v>784.07235399630076</v>
      </c>
      <c r="M57" s="5">
        <v>756.04581987989991</v>
      </c>
      <c r="N57" s="5">
        <v>757.12092837862406</v>
      </c>
      <c r="O57" s="5">
        <v>715.16342953514572</v>
      </c>
      <c r="P57">
        <v>687.81526203210683</v>
      </c>
      <c r="Q57" s="5">
        <v>793.24497181952017</v>
      </c>
      <c r="R57" s="5">
        <v>730.76776123046875</v>
      </c>
      <c r="S57" s="5">
        <v>797.1158447265625</v>
      </c>
      <c r="T57" s="5">
        <v>923.4107720643733</v>
      </c>
      <c r="U57" s="5">
        <v>852.12625430486071</v>
      </c>
      <c r="V57" s="5">
        <v>750.46597858715199</v>
      </c>
      <c r="W57" s="5">
        <v>796.66252803913835</v>
      </c>
      <c r="X57" s="5">
        <v>783.98089510307398</v>
      </c>
      <c r="Y57" s="5">
        <v>617.21821261255354</v>
      </c>
    </row>
    <row r="58" spans="1:25">
      <c r="A58">
        <v>166</v>
      </c>
      <c r="B58">
        <v>5</v>
      </c>
      <c r="C58">
        <v>274.58620000000002</v>
      </c>
      <c r="D58">
        <v>28.813899030000002</v>
      </c>
      <c r="E58">
        <v>3.975903614457831</v>
      </c>
      <c r="F58">
        <v>1976.0399807707381</v>
      </c>
      <c r="G58" s="35">
        <v>1948.254472356261</v>
      </c>
      <c r="H58" s="5">
        <v>2368.9779161268648</v>
      </c>
      <c r="I58" s="5">
        <v>2368.9779842486851</v>
      </c>
      <c r="J58" s="5">
        <v>2368.9930772079579</v>
      </c>
      <c r="K58" s="5">
        <v>1918.64037967431</v>
      </c>
      <c r="L58" s="5">
        <v>1930.8530072326109</v>
      </c>
      <c r="M58" s="5">
        <v>1940.3829408136439</v>
      </c>
      <c r="N58" s="5">
        <v>1930.3077824297759</v>
      </c>
      <c r="O58" s="5">
        <v>1897.2165214316551</v>
      </c>
      <c r="P58">
        <v>1910.737609231081</v>
      </c>
      <c r="Q58" s="5">
        <v>1769.385474394099</v>
      </c>
      <c r="R58" s="5">
        <v>1936.330932617188</v>
      </c>
      <c r="S58" s="5">
        <v>1839.9339599609375</v>
      </c>
      <c r="T58" s="5">
        <v>1804.7347691137124</v>
      </c>
      <c r="U58" s="5">
        <v>1675.6992109586636</v>
      </c>
      <c r="V58" s="5">
        <v>1477.6876647227541</v>
      </c>
      <c r="W58" s="5">
        <v>1523.1379338125168</v>
      </c>
      <c r="X58" s="5">
        <v>1501.418336556176</v>
      </c>
      <c r="Y58" s="5">
        <v>1205.386929415351</v>
      </c>
    </row>
    <row r="59" spans="1:25">
      <c r="A59">
        <v>127</v>
      </c>
      <c r="B59">
        <v>7</v>
      </c>
      <c r="C59">
        <v>429</v>
      </c>
      <c r="D59">
        <v>106.02</v>
      </c>
      <c r="E59">
        <v>3.5039370078740162</v>
      </c>
      <c r="F59">
        <v>3364</v>
      </c>
      <c r="G59" s="35">
        <v>3370</v>
      </c>
      <c r="H59" s="5">
        <v>3472.8259522730618</v>
      </c>
      <c r="I59" s="5">
        <v>3472.826006685098</v>
      </c>
      <c r="J59" s="5">
        <v>3472.7470090991242</v>
      </c>
      <c r="K59" s="5">
        <v>4480</v>
      </c>
      <c r="L59" s="5">
        <v>3428.583596428547</v>
      </c>
      <c r="M59" s="5">
        <v>3370</v>
      </c>
      <c r="N59" s="5">
        <v>3378.6202823345438</v>
      </c>
      <c r="O59" s="5">
        <v>3398.3600446507721</v>
      </c>
      <c r="P59">
        <v>3258.4084072022201</v>
      </c>
      <c r="Q59" s="5">
        <v>3001.0234144928449</v>
      </c>
      <c r="R59" s="5">
        <v>3360.22265625</v>
      </c>
      <c r="S59" s="5">
        <v>3356.18896484375</v>
      </c>
      <c r="T59" s="5">
        <v>2951.4614092775601</v>
      </c>
      <c r="U59" s="5">
        <v>2693.478217968272</v>
      </c>
      <c r="V59" s="5">
        <v>2534.2418302126798</v>
      </c>
    </row>
    <row r="60" spans="1:25">
      <c r="A60">
        <v>96</v>
      </c>
      <c r="B60">
        <v>5</v>
      </c>
      <c r="C60">
        <v>410.6</v>
      </c>
      <c r="D60">
        <v>39.53</v>
      </c>
      <c r="E60">
        <v>4.166666666666667</v>
      </c>
      <c r="F60">
        <v>1176</v>
      </c>
      <c r="G60" s="35">
        <v>1122</v>
      </c>
      <c r="H60" s="5">
        <v>797.13316041783241</v>
      </c>
      <c r="I60" s="5">
        <v>797.13347564530886</v>
      </c>
      <c r="J60" s="5">
        <v>797.11528419973456</v>
      </c>
      <c r="K60" s="5">
        <v>1130.0609512314729</v>
      </c>
      <c r="L60" s="5">
        <v>1124.0496791867499</v>
      </c>
      <c r="M60" s="5">
        <v>1122.0791536819729</v>
      </c>
      <c r="N60" s="5">
        <v>1126.5322154102801</v>
      </c>
      <c r="O60" s="5">
        <v>1149.21482954573</v>
      </c>
      <c r="P60">
        <v>1160.676284709531</v>
      </c>
      <c r="Q60" s="5">
        <v>1069.0171982669649</v>
      </c>
      <c r="R60" s="5">
        <v>1122.810913085938</v>
      </c>
      <c r="S60" s="5">
        <v>1088.941162109375</v>
      </c>
      <c r="T60" s="5">
        <v>1165.7403881024197</v>
      </c>
      <c r="U60" s="5">
        <v>1180.4353125967536</v>
      </c>
      <c r="V60" s="5">
        <v>1057.032271979313</v>
      </c>
      <c r="W60" s="5">
        <v>1024.1159867054116</v>
      </c>
      <c r="X60" s="5">
        <v>968.39975520099961</v>
      </c>
      <c r="Y60" s="5">
        <v>793.20805296353569</v>
      </c>
    </row>
    <row r="61" spans="1:25">
      <c r="A61">
        <v>63.5</v>
      </c>
      <c r="B61">
        <v>2</v>
      </c>
      <c r="C61">
        <v>250</v>
      </c>
      <c r="D61">
        <v>41.360000000000007</v>
      </c>
      <c r="E61">
        <v>5.5118110236220472</v>
      </c>
      <c r="F61">
        <v>204.46</v>
      </c>
      <c r="G61" s="35">
        <v>194.58039705110409</v>
      </c>
      <c r="H61" s="5">
        <v>-1604.7697983223479</v>
      </c>
      <c r="I61" s="5">
        <v>-1604.7694745803719</v>
      </c>
      <c r="J61" s="5">
        <v>-1604.7642775671791</v>
      </c>
      <c r="K61" s="5">
        <v>263.50625000000002</v>
      </c>
      <c r="L61" s="5">
        <v>209.1071634615387</v>
      </c>
      <c r="M61" s="5">
        <v>205.917766990291</v>
      </c>
      <c r="N61" s="5">
        <v>202.49095881942429</v>
      </c>
      <c r="O61" s="5">
        <v>202.3027277867896</v>
      </c>
      <c r="P61">
        <v>200.79551720424701</v>
      </c>
      <c r="Q61" s="5">
        <v>201.8411727331376</v>
      </c>
      <c r="R61" s="5">
        <v>196.94268798828119</v>
      </c>
      <c r="S61" s="5">
        <v>256.6971435546875</v>
      </c>
      <c r="T61" s="5">
        <v>310.60669928924364</v>
      </c>
      <c r="U61" s="5">
        <v>271.50015991052442</v>
      </c>
      <c r="V61" s="5">
        <v>236.24527126280952</v>
      </c>
      <c r="W61" s="5">
        <v>264.31970071181826</v>
      </c>
      <c r="X61" s="5">
        <v>230.45834455086069</v>
      </c>
      <c r="Y61" s="5">
        <v>201.64542007894741</v>
      </c>
    </row>
    <row r="62" spans="1:25">
      <c r="A62">
        <v>107.9</v>
      </c>
      <c r="B62">
        <v>8.0299999999999994</v>
      </c>
      <c r="C62">
        <v>251.8</v>
      </c>
      <c r="D62">
        <v>130.80000000000001</v>
      </c>
      <c r="E62">
        <v>3.1696014828544952</v>
      </c>
      <c r="F62">
        <v>1613</v>
      </c>
      <c r="G62" s="35">
        <v>1650.367621428773</v>
      </c>
      <c r="H62" s="5">
        <v>2973.530150279455</v>
      </c>
      <c r="I62" s="5">
        <v>2973.5304534921861</v>
      </c>
      <c r="J62" s="5">
        <v>2973.4646865210138</v>
      </c>
      <c r="K62" s="5">
        <v>1562.37</v>
      </c>
      <c r="L62" s="5">
        <v>1637.9704813806941</v>
      </c>
      <c r="M62" s="5">
        <v>1559.3744012944981</v>
      </c>
      <c r="N62" s="5">
        <v>1821.7151520951541</v>
      </c>
      <c r="O62" s="5">
        <v>1997.502074324183</v>
      </c>
      <c r="P62">
        <v>1785.094981592528</v>
      </c>
      <c r="Q62" s="5">
        <v>1456.019595312883</v>
      </c>
      <c r="R62" s="5">
        <v>1602.098754882812</v>
      </c>
      <c r="S62" s="5">
        <v>1250.1466064453125</v>
      </c>
      <c r="T62" s="5">
        <v>1873.6496335855395</v>
      </c>
      <c r="U62" s="5">
        <v>1780.0069678139105</v>
      </c>
      <c r="V62" s="5">
        <v>1633.151720570926</v>
      </c>
    </row>
    <row r="63" spans="1:25">
      <c r="A63">
        <v>60</v>
      </c>
      <c r="B63">
        <v>1.87</v>
      </c>
      <c r="C63">
        <v>282</v>
      </c>
      <c r="D63">
        <v>68.160000000000011</v>
      </c>
      <c r="E63">
        <v>3</v>
      </c>
      <c r="F63">
        <v>320</v>
      </c>
      <c r="G63" s="35">
        <v>991.22727272727275</v>
      </c>
      <c r="H63" s="5">
        <v>-1406.4566221050341</v>
      </c>
      <c r="I63" s="5">
        <v>-1406.456079002654</v>
      </c>
      <c r="J63" s="5">
        <v>-1406.4011628294011</v>
      </c>
      <c r="K63" s="5">
        <v>169.12285714285721</v>
      </c>
      <c r="L63" s="5">
        <v>387.09710377248831</v>
      </c>
      <c r="M63" s="5">
        <v>401.38563108038829</v>
      </c>
      <c r="N63" s="5">
        <v>324.20911360658448</v>
      </c>
      <c r="O63" s="5">
        <v>351.80344192290261</v>
      </c>
      <c r="P63">
        <v>367.70548618196068</v>
      </c>
      <c r="Q63" s="5">
        <v>414.99999999999977</v>
      </c>
      <c r="R63" s="5">
        <v>320.76065063476563</v>
      </c>
      <c r="S63" s="5">
        <v>-35.158447265625</v>
      </c>
      <c r="T63" s="5">
        <v>402.77388458208861</v>
      </c>
      <c r="U63" s="5">
        <v>325.45241415525788</v>
      </c>
      <c r="V63" s="5">
        <v>279.35528166779937</v>
      </c>
      <c r="Y63" s="5">
        <v>255.2312671706791</v>
      </c>
    </row>
    <row r="64" spans="1:25">
      <c r="A64">
        <v>100</v>
      </c>
      <c r="B64">
        <v>1.9</v>
      </c>
      <c r="C64">
        <v>404</v>
      </c>
      <c r="D64">
        <v>97.28</v>
      </c>
      <c r="E64">
        <v>3</v>
      </c>
      <c r="F64">
        <v>1170</v>
      </c>
      <c r="G64" s="35">
        <v>1125</v>
      </c>
      <c r="H64" s="5">
        <v>997.93635357219455</v>
      </c>
      <c r="I64" s="5">
        <v>997.93641818932065</v>
      </c>
      <c r="J64" s="5">
        <v>997.92106750510925</v>
      </c>
      <c r="K64" s="5">
        <v>1053.272857142857</v>
      </c>
      <c r="L64" s="5">
        <v>1121.9114947919761</v>
      </c>
      <c r="M64" s="5">
        <v>1125</v>
      </c>
      <c r="N64" s="5">
        <v>1136.8987857562311</v>
      </c>
      <c r="O64" s="5">
        <v>1122.236579955523</v>
      </c>
      <c r="P64">
        <v>1082.3670940723389</v>
      </c>
      <c r="Q64" s="5">
        <v>992.80771968927604</v>
      </c>
      <c r="R64" s="5">
        <v>1124.641845703125</v>
      </c>
      <c r="S64" s="5">
        <v>1127.8349609375</v>
      </c>
      <c r="T64" s="5">
        <v>1139.7584380600542</v>
      </c>
      <c r="U64" s="5">
        <v>1090.3101759133272</v>
      </c>
      <c r="V64" s="5">
        <v>919.562469477646</v>
      </c>
    </row>
    <row r="65" spans="1:25">
      <c r="A65">
        <v>108</v>
      </c>
      <c r="B65">
        <v>8</v>
      </c>
      <c r="C65">
        <v>351</v>
      </c>
      <c r="D65">
        <v>87.04</v>
      </c>
      <c r="E65">
        <v>3</v>
      </c>
      <c r="F65">
        <v>2037</v>
      </c>
      <c r="G65" s="35">
        <v>1914.130229874002</v>
      </c>
      <c r="H65" s="5">
        <v>2542.0441738625232</v>
      </c>
      <c r="I65" s="5">
        <v>2542.0445773932329</v>
      </c>
      <c r="J65" s="5">
        <v>2542.008534012989</v>
      </c>
      <c r="K65" s="5">
        <v>1724.0619999999999</v>
      </c>
      <c r="L65" s="5">
        <v>1927.454652972028</v>
      </c>
      <c r="M65" s="5">
        <v>1937.5574433656959</v>
      </c>
      <c r="N65" s="5">
        <v>1981.9716510956409</v>
      </c>
      <c r="O65" s="5">
        <v>1989.583133631535</v>
      </c>
      <c r="P65">
        <v>1989.920553752338</v>
      </c>
      <c r="Q65" s="5">
        <v>1851.881059138509</v>
      </c>
      <c r="R65" s="5">
        <v>1935.837890625</v>
      </c>
      <c r="S65" s="5">
        <v>1852.535400390625</v>
      </c>
      <c r="T65" s="5">
        <v>2034.1202882749396</v>
      </c>
      <c r="U65" s="5">
        <v>2007.7059109342345</v>
      </c>
      <c r="V65" s="5">
        <v>1770.0567351411744</v>
      </c>
    </row>
    <row r="66" spans="1:25">
      <c r="A66">
        <v>222</v>
      </c>
      <c r="B66">
        <v>6.47</v>
      </c>
      <c r="C66">
        <v>843</v>
      </c>
      <c r="D66">
        <v>40.5</v>
      </c>
      <c r="E66">
        <v>3</v>
      </c>
      <c r="F66">
        <v>5638</v>
      </c>
      <c r="G66" s="35">
        <v>5714</v>
      </c>
      <c r="H66" s="5">
        <v>6796.2413985906323</v>
      </c>
      <c r="I66" s="5">
        <v>6796.2408329390382</v>
      </c>
      <c r="J66" s="5">
        <v>6796.127436305168</v>
      </c>
      <c r="K66" s="5">
        <v>5478.0862695989399</v>
      </c>
      <c r="L66" s="5">
        <v>5663.9036509819653</v>
      </c>
      <c r="M66" s="5">
        <v>5714</v>
      </c>
      <c r="N66" s="5">
        <v>5778.1224612249098</v>
      </c>
      <c r="O66" s="5">
        <v>5676.0911023698154</v>
      </c>
      <c r="P66">
        <v>5646.0867260921423</v>
      </c>
      <c r="Q66" s="5">
        <v>5335.4568212603508</v>
      </c>
      <c r="R66" s="5">
        <v>5714.32275390625</v>
      </c>
      <c r="S66" s="5">
        <v>5692.7734375</v>
      </c>
      <c r="T66" s="5">
        <v>5849.5665468903999</v>
      </c>
      <c r="U66" s="5">
        <v>7003.721633511509</v>
      </c>
      <c r="V66" s="5">
        <v>6628.5445864347757</v>
      </c>
      <c r="W66" s="5">
        <v>5942.2694630346577</v>
      </c>
    </row>
    <row r="67" spans="1:25">
      <c r="A67">
        <v>114.3</v>
      </c>
      <c r="B67">
        <v>6</v>
      </c>
      <c r="C67">
        <v>342.95</v>
      </c>
      <c r="D67">
        <v>32.68</v>
      </c>
      <c r="E67">
        <v>3.00087489063867</v>
      </c>
      <c r="F67">
        <v>1075.4000000000001</v>
      </c>
      <c r="G67" s="35">
        <v>1278.5404312916939</v>
      </c>
      <c r="H67" s="5">
        <v>1207.0447345492021</v>
      </c>
      <c r="I67" s="5">
        <v>1207.0452204219839</v>
      </c>
      <c r="J67" s="5">
        <v>1207.0808644459109</v>
      </c>
      <c r="K67" s="5">
        <v>1589.41</v>
      </c>
      <c r="L67" s="5">
        <v>1237.629531054431</v>
      </c>
      <c r="M67" s="5">
        <v>1226.11268761918</v>
      </c>
      <c r="N67" s="5">
        <v>1342.661520207283</v>
      </c>
      <c r="O67" s="5">
        <v>1255.488973862311</v>
      </c>
      <c r="P67">
        <v>1140.2561091439611</v>
      </c>
      <c r="Q67" s="5">
        <v>1315.1553777589861</v>
      </c>
      <c r="R67" s="5">
        <v>1234.393188476562</v>
      </c>
      <c r="S67" s="5">
        <v>1499.35986328125</v>
      </c>
      <c r="T67" s="5">
        <v>1408.8083557382429</v>
      </c>
      <c r="U67" s="5">
        <v>1402.7734383410998</v>
      </c>
      <c r="V67" s="5">
        <v>1256.5559629253569</v>
      </c>
      <c r="W67" s="5">
        <v>1211.6899772895686</v>
      </c>
      <c r="X67" s="5">
        <v>1253.058874974053</v>
      </c>
      <c r="Y67" s="5">
        <v>949.0675377071617</v>
      </c>
    </row>
    <row r="68" spans="1:25">
      <c r="A68">
        <v>153</v>
      </c>
      <c r="B68">
        <v>3.64</v>
      </c>
      <c r="C68">
        <v>320</v>
      </c>
      <c r="D68">
        <v>73.2</v>
      </c>
      <c r="E68">
        <v>2</v>
      </c>
      <c r="F68">
        <v>2205</v>
      </c>
      <c r="G68" s="35">
        <v>2264</v>
      </c>
      <c r="H68" s="5">
        <v>2210.595770857904</v>
      </c>
      <c r="I68" s="5">
        <v>2210.5959134904988</v>
      </c>
      <c r="J68" s="5">
        <v>2210.6311338583341</v>
      </c>
      <c r="K68" s="5">
        <v>1727.9</v>
      </c>
      <c r="L68" s="5">
        <v>2153.9296299982302</v>
      </c>
      <c r="M68" s="5">
        <v>2263.3700647249188</v>
      </c>
      <c r="N68" s="5">
        <v>2019.662319635067</v>
      </c>
      <c r="O68" s="5">
        <v>2141.1113554536068</v>
      </c>
      <c r="P68">
        <v>2151.2154367589801</v>
      </c>
      <c r="Q68" s="5">
        <v>2005.3879668007171</v>
      </c>
      <c r="R68" s="5">
        <v>2259.5693359375</v>
      </c>
      <c r="S68" s="5">
        <v>2762.6337890625</v>
      </c>
      <c r="T68" s="5">
        <v>2229.7004979983903</v>
      </c>
      <c r="U68" s="5">
        <v>2106.2077905205206</v>
      </c>
      <c r="V68" s="5">
        <v>1793.6935107490792</v>
      </c>
    </row>
    <row r="69" spans="1:25">
      <c r="A69">
        <v>47.28</v>
      </c>
      <c r="B69">
        <v>1.87</v>
      </c>
      <c r="C69">
        <v>360</v>
      </c>
      <c r="D69">
        <v>17.862792040136021</v>
      </c>
      <c r="E69">
        <v>7.1912013536379016</v>
      </c>
      <c r="F69">
        <v>160</v>
      </c>
      <c r="G69" s="35">
        <v>187.6477713507818</v>
      </c>
      <c r="H69" s="5">
        <v>-1948.5437868341039</v>
      </c>
      <c r="I69" s="5">
        <v>-1948.5436127405119</v>
      </c>
      <c r="J69" s="5">
        <v>-1948.5835279891851</v>
      </c>
      <c r="K69" s="5">
        <v>194.7692307692308</v>
      </c>
      <c r="L69" s="5">
        <v>191.3570695970696</v>
      </c>
      <c r="M69" s="5">
        <v>188.63106796116509</v>
      </c>
      <c r="N69" s="5">
        <v>178.1004402727113</v>
      </c>
      <c r="O69" s="5">
        <v>188.7118972380417</v>
      </c>
      <c r="P69">
        <v>191.66126949235911</v>
      </c>
      <c r="Q69" s="5">
        <v>186.70832868407351</v>
      </c>
      <c r="R69" s="5">
        <v>187.99078369140619</v>
      </c>
      <c r="S69" s="5">
        <v>136.57374572753906</v>
      </c>
      <c r="T69" s="5">
        <v>136.08258358038501</v>
      </c>
      <c r="U69" s="5">
        <v>182.17839530185347</v>
      </c>
      <c r="V69" s="5">
        <v>164.48933704950662</v>
      </c>
      <c r="W69" s="5">
        <v>147.322729065619</v>
      </c>
    </row>
    <row r="70" spans="1:25">
      <c r="A70">
        <v>96</v>
      </c>
      <c r="B70">
        <v>5</v>
      </c>
      <c r="C70">
        <v>410.89863500000001</v>
      </c>
      <c r="D70">
        <v>10.093004179999999</v>
      </c>
      <c r="E70">
        <v>4.6875</v>
      </c>
      <c r="F70">
        <v>843.3719024629454</v>
      </c>
      <c r="G70" s="35">
        <v>1050.013437751815</v>
      </c>
      <c r="H70" s="5">
        <v>327.22657675455338</v>
      </c>
      <c r="I70" s="5">
        <v>327.22694074448549</v>
      </c>
      <c r="J70" s="5">
        <v>327.22310278728969</v>
      </c>
      <c r="K70" s="5">
        <v>1094.52687271323</v>
      </c>
      <c r="L70" s="5">
        <v>989.15252003234127</v>
      </c>
      <c r="M70" s="5">
        <v>961.8570325610707</v>
      </c>
      <c r="N70" s="5">
        <v>1018.8242393155811</v>
      </c>
      <c r="O70" s="5">
        <v>968.12221164738412</v>
      </c>
      <c r="P70">
        <v>948.82985937321541</v>
      </c>
      <c r="Q70" s="5">
        <v>1035.462141396667</v>
      </c>
      <c r="R70" s="5">
        <v>952.43115234375</v>
      </c>
      <c r="S70" s="5">
        <v>1014.9268798828125</v>
      </c>
      <c r="T70" s="5">
        <v>977.87112324071711</v>
      </c>
      <c r="U70" s="5">
        <v>1010.1330889913577</v>
      </c>
      <c r="V70" s="5">
        <v>920.8724497264642</v>
      </c>
    </row>
    <row r="71" spans="1:25">
      <c r="A71">
        <v>101.8</v>
      </c>
      <c r="B71">
        <v>3.03</v>
      </c>
      <c r="C71">
        <v>371</v>
      </c>
      <c r="D71">
        <v>23.2</v>
      </c>
      <c r="E71">
        <v>2.9960707269155211</v>
      </c>
      <c r="F71">
        <v>679</v>
      </c>
      <c r="G71" s="35">
        <v>657</v>
      </c>
      <c r="H71" s="5">
        <v>-41.360040497133006</v>
      </c>
      <c r="I71" s="5">
        <v>-41.359630533499967</v>
      </c>
      <c r="J71" s="5">
        <v>-41.31280283542992</v>
      </c>
      <c r="K71" s="5">
        <v>686.21428571428567</v>
      </c>
      <c r="L71" s="5">
        <v>659.23858235605121</v>
      </c>
      <c r="M71" s="5">
        <v>657.21928058855451</v>
      </c>
      <c r="N71" s="5">
        <v>680.18919420537566</v>
      </c>
      <c r="O71" s="5">
        <v>661.83784226683906</v>
      </c>
      <c r="P71">
        <v>646.84565745901557</v>
      </c>
      <c r="Q71" s="5">
        <v>735.49354624151715</v>
      </c>
      <c r="R71" s="5">
        <v>655.108154296875</v>
      </c>
      <c r="S71" s="5">
        <v>678.398193359375</v>
      </c>
      <c r="T71" s="5">
        <v>794.3888590002997</v>
      </c>
      <c r="U71" s="5">
        <v>732.09405286095375</v>
      </c>
      <c r="V71" s="5">
        <v>654.58453125739311</v>
      </c>
      <c r="W71" s="5">
        <v>628.74640736795357</v>
      </c>
      <c r="Y71" s="5">
        <v>504.14736881738799</v>
      </c>
    </row>
    <row r="72" spans="1:25">
      <c r="A72">
        <v>108</v>
      </c>
      <c r="B72">
        <v>12</v>
      </c>
      <c r="C72">
        <v>430</v>
      </c>
      <c r="D72">
        <v>72.239999999999995</v>
      </c>
      <c r="E72">
        <v>3</v>
      </c>
      <c r="F72">
        <v>2713</v>
      </c>
      <c r="G72" s="35">
        <v>2212.975009976652</v>
      </c>
      <c r="H72" s="5">
        <v>3701.0987522898699</v>
      </c>
      <c r="I72" s="5">
        <v>3701.0993068741241</v>
      </c>
      <c r="J72" s="5">
        <v>3700.9985641647791</v>
      </c>
      <c r="K72" s="5">
        <v>2334.909090909091</v>
      </c>
      <c r="L72" s="5">
        <v>2467.4535356031029</v>
      </c>
      <c r="M72" s="5">
        <v>2446.374378786943</v>
      </c>
      <c r="N72" s="5">
        <v>2537.8358960335122</v>
      </c>
      <c r="O72" s="5">
        <v>3097.8814387706238</v>
      </c>
      <c r="P72">
        <v>2837.144231410924</v>
      </c>
      <c r="Q72" s="5">
        <v>2342.7411168332328</v>
      </c>
      <c r="R72" s="5">
        <v>2626.1455078125</v>
      </c>
      <c r="S72" s="5">
        <v>3169.63330078125</v>
      </c>
      <c r="T72" s="5">
        <v>2738.2019891072791</v>
      </c>
      <c r="U72" s="5">
        <v>2921.4127501621847</v>
      </c>
      <c r="V72" s="5">
        <v>2606.8987352941158</v>
      </c>
      <c r="W72" s="5">
        <v>2305.7542343495084</v>
      </c>
    </row>
    <row r="73" spans="1:25">
      <c r="A73">
        <v>114.3</v>
      </c>
      <c r="B73">
        <v>3.35</v>
      </c>
      <c r="C73">
        <v>287.33</v>
      </c>
      <c r="D73">
        <v>105.45</v>
      </c>
      <c r="E73">
        <v>3.00087489063867</v>
      </c>
      <c r="F73">
        <v>1453.1</v>
      </c>
      <c r="G73" s="35">
        <v>1402.1091123007291</v>
      </c>
      <c r="H73" s="5">
        <v>1468.3272133717051</v>
      </c>
      <c r="I73" s="5">
        <v>1468.327335830327</v>
      </c>
      <c r="J73" s="5">
        <v>1468.3189606233741</v>
      </c>
      <c r="K73" s="5">
        <v>1189.814166666667</v>
      </c>
      <c r="L73" s="5">
        <v>1276.5522776785781</v>
      </c>
      <c r="M73" s="5">
        <v>1363.2758414239449</v>
      </c>
      <c r="N73" s="5">
        <v>1273.129973542791</v>
      </c>
      <c r="O73" s="5">
        <v>1287.216871414153</v>
      </c>
      <c r="P73">
        <v>1312.441622095294</v>
      </c>
      <c r="Q73" s="5">
        <v>1175.5561286946711</v>
      </c>
      <c r="R73" s="5">
        <v>1275.558959960938</v>
      </c>
      <c r="S73" s="5">
        <v>1315.4666748046875</v>
      </c>
      <c r="T73" s="5">
        <v>1516.938053063046</v>
      </c>
      <c r="U73" s="5">
        <v>1442.0044272799403</v>
      </c>
      <c r="V73" s="5">
        <v>1268.233485900231</v>
      </c>
    </row>
    <row r="74" spans="1:25">
      <c r="A74">
        <v>200</v>
      </c>
      <c r="B74">
        <v>3</v>
      </c>
      <c r="C74">
        <v>303.5</v>
      </c>
      <c r="D74">
        <v>46.8</v>
      </c>
      <c r="E74">
        <v>3</v>
      </c>
      <c r="F74">
        <v>2330</v>
      </c>
      <c r="G74" s="35">
        <v>2319.5</v>
      </c>
      <c r="H74" s="5">
        <v>3245.189802212924</v>
      </c>
      <c r="I74" s="5">
        <v>3245.1896004487662</v>
      </c>
      <c r="J74" s="5">
        <v>3245.2291859007059</v>
      </c>
      <c r="K74" s="5">
        <v>2128.91</v>
      </c>
      <c r="L74" s="5">
        <v>2320.6981735145591</v>
      </c>
      <c r="M74" s="5">
        <v>2319.5671521035601</v>
      </c>
      <c r="N74" s="5">
        <v>2378.0712699679389</v>
      </c>
      <c r="O74" s="5">
        <v>2342.8286005708601</v>
      </c>
      <c r="P74">
        <v>2256.025059912974</v>
      </c>
      <c r="Q74" s="5">
        <v>2200.2680538597979</v>
      </c>
      <c r="R74" s="5">
        <v>2316.074951171875</v>
      </c>
      <c r="S74" s="5">
        <v>2415.24267578125</v>
      </c>
      <c r="T74" s="5">
        <v>2279.7580560651386</v>
      </c>
      <c r="U74" s="5">
        <v>2296.2471532472955</v>
      </c>
      <c r="V74" s="5">
        <v>1950.1935903376136</v>
      </c>
      <c r="W74" s="5">
        <v>1938.6279986244717</v>
      </c>
      <c r="X74" s="5">
        <v>2190.4064807208802</v>
      </c>
      <c r="Y74" s="5">
        <v>1860.9827171413419</v>
      </c>
    </row>
    <row r="75" spans="1:25">
      <c r="A75">
        <v>47.28</v>
      </c>
      <c r="B75">
        <v>1.87</v>
      </c>
      <c r="C75">
        <v>360</v>
      </c>
      <c r="D75">
        <v>17.658646438290461</v>
      </c>
      <c r="E75">
        <v>7.1912013536379016</v>
      </c>
      <c r="F75">
        <v>187</v>
      </c>
      <c r="G75" s="35">
        <v>164.07378331637449</v>
      </c>
      <c r="H75" s="5">
        <v>-2070.5923947724359</v>
      </c>
      <c r="I75" s="5">
        <v>-2070.5921780994531</v>
      </c>
      <c r="J75" s="5">
        <v>-2070.6317700814552</v>
      </c>
      <c r="K75" s="5">
        <v>175.875</v>
      </c>
      <c r="L75" s="5">
        <v>174.23397435897431</v>
      </c>
      <c r="M75" s="5">
        <v>160</v>
      </c>
      <c r="N75" s="5">
        <v>163.1689474125624</v>
      </c>
      <c r="O75" s="5">
        <v>160.8976883935905</v>
      </c>
      <c r="P75">
        <v>167.0085043916925</v>
      </c>
      <c r="Q75" s="5">
        <v>180.8712505344385</v>
      </c>
      <c r="R75" s="5">
        <v>154.66886901855469</v>
      </c>
      <c r="S75" s="5">
        <v>369.2203369140625</v>
      </c>
      <c r="T75" s="5">
        <v>135.44184790934213</v>
      </c>
      <c r="U75" s="5">
        <v>181.87444207481155</v>
      </c>
      <c r="V75" s="5">
        <v>164.24617446787303</v>
      </c>
      <c r="W75" s="5">
        <v>146.82791926763093</v>
      </c>
    </row>
    <row r="76" spans="1:25">
      <c r="A76">
        <v>140</v>
      </c>
      <c r="B76">
        <v>4.5</v>
      </c>
      <c r="C76">
        <v>374.2</v>
      </c>
      <c r="D76">
        <v>27.16</v>
      </c>
      <c r="E76">
        <v>3</v>
      </c>
      <c r="F76">
        <v>1294.5</v>
      </c>
      <c r="G76" s="35">
        <v>1368.7325003508099</v>
      </c>
      <c r="H76" s="5">
        <v>1627.7133963697181</v>
      </c>
      <c r="I76" s="5">
        <v>1627.713666854921</v>
      </c>
      <c r="J76" s="5">
        <v>1627.7482095321941</v>
      </c>
      <c r="K76" s="5">
        <v>1374.065439272727</v>
      </c>
      <c r="L76" s="5">
        <v>1428.79222162679</v>
      </c>
      <c r="M76" s="5">
        <v>1429.140969242718</v>
      </c>
      <c r="N76" s="5">
        <v>1382.9681673048749</v>
      </c>
      <c r="O76" s="5">
        <v>1426.129818746545</v>
      </c>
      <c r="P76">
        <v>1455.7503406047169</v>
      </c>
      <c r="Q76" s="5">
        <v>1407.3979480361629</v>
      </c>
      <c r="R76" s="5">
        <v>1369.150634765625</v>
      </c>
      <c r="S76" s="5">
        <v>1606.5255126953125</v>
      </c>
      <c r="T76" s="5">
        <v>1531.3081973196181</v>
      </c>
      <c r="U76" s="5">
        <v>1527.3043662844193</v>
      </c>
      <c r="V76" s="5">
        <v>1363.050756260699</v>
      </c>
      <c r="W76" s="5">
        <v>1319.8165352636522</v>
      </c>
      <c r="Y76" s="5">
        <v>1057.3664812861839</v>
      </c>
    </row>
    <row r="77" spans="1:25">
      <c r="A77">
        <v>216.3</v>
      </c>
      <c r="B77">
        <v>4.5</v>
      </c>
      <c r="C77">
        <v>371.9</v>
      </c>
      <c r="D77">
        <v>39.770000000000003</v>
      </c>
      <c r="E77">
        <v>3</v>
      </c>
      <c r="F77">
        <v>2751.2</v>
      </c>
      <c r="G77" s="35">
        <v>3210.8898279304308</v>
      </c>
      <c r="H77" s="5">
        <v>4295.7418343309791</v>
      </c>
      <c r="I77" s="5">
        <v>4295.7415831789503</v>
      </c>
      <c r="J77" s="5">
        <v>4295.7475079190299</v>
      </c>
      <c r="K77" s="5">
        <v>1948.5300792546709</v>
      </c>
      <c r="L77" s="5">
        <v>2643.5055044397</v>
      </c>
      <c r="M77" s="5">
        <v>3091.0972418249648</v>
      </c>
      <c r="N77" s="5">
        <v>2574.2108458748498</v>
      </c>
      <c r="O77" s="5">
        <v>2728.0218817043192</v>
      </c>
      <c r="P77">
        <v>2656.075279215414</v>
      </c>
      <c r="Q77" s="5">
        <v>2623.2778312898872</v>
      </c>
      <c r="R77" s="5">
        <v>2884.802490234375</v>
      </c>
      <c r="S77" s="5">
        <v>3015.158203125</v>
      </c>
      <c r="T77" s="5">
        <v>3035.6555142272787</v>
      </c>
      <c r="U77" s="5">
        <v>3146.2538899804922</v>
      </c>
      <c r="V77" s="5">
        <v>2739.2737418665824</v>
      </c>
      <c r="W77" s="5">
        <v>2543.7206642849769</v>
      </c>
      <c r="X77" s="5">
        <v>2937.6111453873091</v>
      </c>
      <c r="Y77" s="5">
        <v>2369.311273758532</v>
      </c>
    </row>
    <row r="78" spans="1:25">
      <c r="A78">
        <v>108</v>
      </c>
      <c r="B78">
        <v>4</v>
      </c>
      <c r="C78">
        <v>339.11395700000003</v>
      </c>
      <c r="D78">
        <v>28.244132664999999</v>
      </c>
      <c r="E78">
        <v>3</v>
      </c>
      <c r="F78">
        <v>1117.958103264835</v>
      </c>
      <c r="G78" s="35">
        <v>1059.1182030930011</v>
      </c>
      <c r="H78" s="5">
        <v>360.07832047404372</v>
      </c>
      <c r="I78" s="5">
        <v>360.07874628582232</v>
      </c>
      <c r="J78" s="5">
        <v>360.12467879085148</v>
      </c>
      <c r="K78" s="5">
        <v>978.50140023792312</v>
      </c>
      <c r="L78" s="5">
        <v>1050.0891780846259</v>
      </c>
      <c r="M78" s="5">
        <v>1057.29200528048</v>
      </c>
      <c r="N78" s="5">
        <v>1000.1183044544169</v>
      </c>
      <c r="O78" s="5">
        <v>1026.3659357554659</v>
      </c>
      <c r="P78">
        <v>1008.098415514391</v>
      </c>
      <c r="Q78" s="5">
        <v>973.82010223385339</v>
      </c>
      <c r="R78" s="5">
        <v>1049.210693359375</v>
      </c>
      <c r="S78" s="5">
        <v>968.460693359375</v>
      </c>
      <c r="T78" s="5">
        <v>1012.2862717068223</v>
      </c>
      <c r="U78" s="5">
        <v>939.79490599677615</v>
      </c>
      <c r="V78" s="5">
        <v>838.61948031894553</v>
      </c>
      <c r="W78" s="5">
        <v>826.94894198056795</v>
      </c>
      <c r="X78" s="5">
        <v>860.48618065423329</v>
      </c>
      <c r="Y78" s="5">
        <v>649.81486552355921</v>
      </c>
    </row>
    <row r="79" spans="1:25">
      <c r="A79">
        <v>114.2</v>
      </c>
      <c r="B79">
        <v>3.9</v>
      </c>
      <c r="C79">
        <v>364</v>
      </c>
      <c r="D79">
        <v>46.763208585700767</v>
      </c>
      <c r="E79">
        <v>3.9929947460595452</v>
      </c>
      <c r="F79">
        <v>1413</v>
      </c>
      <c r="G79" s="35">
        <v>1236.0145026397749</v>
      </c>
      <c r="H79" s="5">
        <v>976.4562056001771</v>
      </c>
      <c r="I79" s="5">
        <v>976.456403701726</v>
      </c>
      <c r="J79" s="5">
        <v>976.45815050240685</v>
      </c>
      <c r="K79" s="5">
        <v>876.26080817667525</v>
      </c>
      <c r="L79" s="5">
        <v>1064.7392820786331</v>
      </c>
      <c r="M79" s="5">
        <v>1072.4929971833601</v>
      </c>
      <c r="N79" s="5">
        <v>1361.6629528399201</v>
      </c>
      <c r="O79" s="5">
        <v>1382.8437026515251</v>
      </c>
      <c r="P79">
        <v>1285.9847934674449</v>
      </c>
      <c r="Q79" s="5">
        <v>1286.844968771562</v>
      </c>
      <c r="R79" s="5">
        <v>1199.573364257812</v>
      </c>
      <c r="S79" s="5">
        <v>1105.7867431640625</v>
      </c>
      <c r="T79" s="5">
        <v>1240.7214111128094</v>
      </c>
      <c r="U79" s="5">
        <v>1212.6979582554065</v>
      </c>
      <c r="V79" s="5">
        <v>1066.8269626893875</v>
      </c>
      <c r="W79" s="5">
        <v>1138.5291456081081</v>
      </c>
      <c r="X79" s="5">
        <v>1055.5102712748751</v>
      </c>
      <c r="Y79" s="5">
        <v>875.09287625510001</v>
      </c>
    </row>
    <row r="80" spans="1:25">
      <c r="A80">
        <v>210</v>
      </c>
      <c r="B80">
        <v>2.5</v>
      </c>
      <c r="C80">
        <v>237.2</v>
      </c>
      <c r="D80">
        <v>27.82</v>
      </c>
      <c r="E80">
        <v>3</v>
      </c>
      <c r="F80">
        <v>1637</v>
      </c>
      <c r="G80" s="35">
        <v>1611.700037809562</v>
      </c>
      <c r="H80" s="5">
        <v>2865.7614389507348</v>
      </c>
      <c r="I80" s="5">
        <v>2865.7612705071451</v>
      </c>
      <c r="J80" s="5">
        <v>2865.820334694884</v>
      </c>
      <c r="K80" s="5">
        <v>1536.6</v>
      </c>
      <c r="L80" s="5">
        <v>1659.746193942033</v>
      </c>
      <c r="M80" s="5">
        <v>1608.02427184466</v>
      </c>
      <c r="N80" s="5">
        <v>1892.296706223043</v>
      </c>
      <c r="O80" s="5">
        <v>1737.622668738356</v>
      </c>
      <c r="P80">
        <v>1720.9856059508149</v>
      </c>
      <c r="Q80" s="5">
        <v>1595.858410867728</v>
      </c>
      <c r="R80" s="5">
        <v>1706.2060546875</v>
      </c>
      <c r="S80" s="5">
        <v>1929.2950439453125</v>
      </c>
      <c r="T80" s="5">
        <v>1570.2585295592824</v>
      </c>
      <c r="U80" s="5">
        <v>1544.4723721717535</v>
      </c>
      <c r="V80" s="5">
        <v>1313.4875317393555</v>
      </c>
      <c r="W80" s="5">
        <v>1293.9600507079135</v>
      </c>
      <c r="Y80" s="5">
        <v>1250.1026168550161</v>
      </c>
    </row>
    <row r="81" spans="1:25">
      <c r="A81">
        <v>131</v>
      </c>
      <c r="B81">
        <v>4</v>
      </c>
      <c r="C81">
        <v>306</v>
      </c>
      <c r="D81">
        <v>42.960000000000008</v>
      </c>
      <c r="E81">
        <v>3</v>
      </c>
      <c r="F81">
        <v>1280</v>
      </c>
      <c r="G81" s="35">
        <v>1404.696424717647</v>
      </c>
      <c r="H81" s="5">
        <v>1256.3736276562449</v>
      </c>
      <c r="I81" s="5">
        <v>1256.373892138723</v>
      </c>
      <c r="J81" s="5">
        <v>1256.4074649984591</v>
      </c>
      <c r="K81" s="5">
        <v>1038.5999999999999</v>
      </c>
      <c r="L81" s="5">
        <v>1316.516952554892</v>
      </c>
      <c r="M81" s="5">
        <v>1374.3056325640309</v>
      </c>
      <c r="N81" s="5">
        <v>1298.347397436055</v>
      </c>
      <c r="O81" s="5">
        <v>1334.9086843015671</v>
      </c>
      <c r="P81">
        <v>1303.6581886780209</v>
      </c>
      <c r="Q81" s="5">
        <v>1096.9664788351131</v>
      </c>
      <c r="R81" s="5">
        <v>1310.631713867188</v>
      </c>
      <c r="S81" s="5">
        <v>1330.3822021484375</v>
      </c>
      <c r="T81" s="5">
        <v>1373.7701949851792</v>
      </c>
      <c r="U81" s="5">
        <v>1301.5970850518247</v>
      </c>
      <c r="V81" s="5">
        <v>1137.6658269694572</v>
      </c>
      <c r="W81" s="5">
        <v>1235.9639088855786</v>
      </c>
      <c r="X81" s="5">
        <v>1212.5311218880361</v>
      </c>
      <c r="Y81" s="5">
        <v>966.59406457332648</v>
      </c>
    </row>
    <row r="82" spans="1:25">
      <c r="A82">
        <v>114.3</v>
      </c>
      <c r="B82">
        <v>3.35</v>
      </c>
      <c r="C82">
        <v>287.33</v>
      </c>
      <c r="D82">
        <v>96.868297488282096</v>
      </c>
      <c r="E82">
        <v>5</v>
      </c>
      <c r="F82">
        <v>1407.1</v>
      </c>
      <c r="G82" s="35">
        <v>1142.0230733353189</v>
      </c>
      <c r="H82" s="5">
        <v>1417.7869110629481</v>
      </c>
      <c r="I82" s="5">
        <v>1417.7868318530259</v>
      </c>
      <c r="J82" s="5">
        <v>1417.7335193437509</v>
      </c>
      <c r="K82" s="5">
        <v>1189.814166666667</v>
      </c>
      <c r="L82" s="5">
        <v>1275.743455461213</v>
      </c>
      <c r="M82" s="5">
        <v>1344.2381553398011</v>
      </c>
      <c r="N82" s="5">
        <v>1201.673374905791</v>
      </c>
      <c r="O82" s="5">
        <v>1233.1972902189609</v>
      </c>
      <c r="P82">
        <v>1249.371773587194</v>
      </c>
      <c r="Q82" s="5">
        <v>1172.7582117754021</v>
      </c>
      <c r="R82" s="5">
        <v>1332.683227539062</v>
      </c>
      <c r="S82" s="5">
        <v>1306.8701171875</v>
      </c>
      <c r="T82" s="5">
        <v>1378.756452917175</v>
      </c>
      <c r="U82" s="5">
        <v>1424.3611577137726</v>
      </c>
      <c r="V82" s="5">
        <v>1205.8057094568071</v>
      </c>
    </row>
    <row r="83" spans="1:25">
      <c r="A83">
        <v>166</v>
      </c>
      <c r="B83">
        <v>5</v>
      </c>
      <c r="C83">
        <v>274.60000000000002</v>
      </c>
      <c r="D83">
        <v>18.720078217418219</v>
      </c>
      <c r="E83">
        <v>3.975903614457831</v>
      </c>
      <c r="F83">
        <v>1873</v>
      </c>
      <c r="G83" s="35">
        <v>1795.666666666667</v>
      </c>
      <c r="H83" s="5">
        <v>2247.2038182450942</v>
      </c>
      <c r="I83" s="5">
        <v>2247.2038884141461</v>
      </c>
      <c r="J83" s="5">
        <v>2247.223205352841</v>
      </c>
      <c r="K83" s="5">
        <v>1842.0872430809429</v>
      </c>
      <c r="L83" s="5">
        <v>1868.3197940612199</v>
      </c>
      <c r="M83" s="5">
        <v>1869.0037052730529</v>
      </c>
      <c r="N83" s="5">
        <v>1873.3571532466981</v>
      </c>
      <c r="O83" s="5">
        <v>1874.2675139496471</v>
      </c>
      <c r="P83">
        <v>1859.991261508208</v>
      </c>
      <c r="Q83" s="5">
        <v>1792.100632767748</v>
      </c>
      <c r="R83" s="5">
        <v>1863.107788085938</v>
      </c>
      <c r="S83" s="5">
        <v>1867.66015625</v>
      </c>
      <c r="T83" s="5">
        <v>1679.9889098782562</v>
      </c>
      <c r="U83" s="5">
        <v>1482.8280124552666</v>
      </c>
      <c r="V83" s="5">
        <v>1323.3975976374068</v>
      </c>
      <c r="W83" s="5">
        <v>1267.3536181476302</v>
      </c>
    </row>
    <row r="84" spans="1:25">
      <c r="A84">
        <v>166</v>
      </c>
      <c r="B84">
        <v>5</v>
      </c>
      <c r="C84">
        <v>274.60000000000002</v>
      </c>
      <c r="D84">
        <v>18.720078217418219</v>
      </c>
      <c r="E84">
        <v>3.975903614457831</v>
      </c>
      <c r="F84">
        <v>1976</v>
      </c>
      <c r="G84" s="35">
        <v>1761.333333333333</v>
      </c>
      <c r="H84" s="5">
        <v>2201.0562956005342</v>
      </c>
      <c r="I84" s="5">
        <v>2201.0563874942709</v>
      </c>
      <c r="J84" s="5">
        <v>2201.08064244261</v>
      </c>
      <c r="K84" s="5">
        <v>1847.9302329644661</v>
      </c>
      <c r="L84" s="5">
        <v>1859.0414348855729</v>
      </c>
      <c r="M84" s="5">
        <v>1860.550417264111</v>
      </c>
      <c r="N84" s="5">
        <v>1865.9450096188029</v>
      </c>
      <c r="O84" s="5">
        <v>1860.02236070598</v>
      </c>
      <c r="P84">
        <v>1850.852873388938</v>
      </c>
      <c r="Q84" s="5">
        <v>1784.9807497177039</v>
      </c>
      <c r="R84" s="5">
        <v>1855.8486328125</v>
      </c>
      <c r="S84" s="5">
        <v>1871.91259765625</v>
      </c>
      <c r="T84" s="5">
        <v>1679.9889098782562</v>
      </c>
      <c r="U84" s="5">
        <v>1482.8280124552666</v>
      </c>
      <c r="V84" s="5">
        <v>1323.3975976374068</v>
      </c>
      <c r="W84" s="5">
        <v>1267.3536181476302</v>
      </c>
    </row>
    <row r="85" spans="1:25">
      <c r="A85">
        <v>112.56</v>
      </c>
      <c r="B85">
        <v>2.89</v>
      </c>
      <c r="C85">
        <v>360</v>
      </c>
      <c r="D85">
        <v>20.574552700678339</v>
      </c>
      <c r="E85">
        <v>3.020611229566454</v>
      </c>
      <c r="F85">
        <v>720</v>
      </c>
      <c r="G85" s="35">
        <v>749.03419282004938</v>
      </c>
      <c r="H85" s="5">
        <v>220.3689784861881</v>
      </c>
      <c r="I85" s="5">
        <v>220.36931746870869</v>
      </c>
      <c r="J85" s="5">
        <v>220.4029214888474</v>
      </c>
      <c r="K85" s="5">
        <v>651.1</v>
      </c>
      <c r="L85" s="5">
        <v>718.25668237096033</v>
      </c>
      <c r="M85" s="5">
        <v>751.3711357682231</v>
      </c>
      <c r="N85" s="5">
        <v>747.2679378198244</v>
      </c>
      <c r="O85" s="5">
        <v>755.71104554768044</v>
      </c>
      <c r="P85">
        <v>739.39933061214526</v>
      </c>
      <c r="Q85" s="5">
        <v>765.14041491382125</v>
      </c>
      <c r="R85" s="5">
        <v>753.49072265625</v>
      </c>
      <c r="S85" s="5">
        <v>717.3466796875</v>
      </c>
      <c r="T85" s="5">
        <v>830.48811694771371</v>
      </c>
      <c r="U85" s="5">
        <v>764.94853808507514</v>
      </c>
      <c r="V85" s="5">
        <v>683.11329384294538</v>
      </c>
      <c r="W85" s="5">
        <v>651.36844457136067</v>
      </c>
    </row>
    <row r="86" spans="1:25">
      <c r="A86">
        <v>115</v>
      </c>
      <c r="B86">
        <v>3.9</v>
      </c>
      <c r="C86">
        <v>357.7</v>
      </c>
      <c r="D86">
        <v>52.124622056757993</v>
      </c>
      <c r="E86">
        <v>2.947826086956522</v>
      </c>
      <c r="F86">
        <v>1030</v>
      </c>
      <c r="G86" s="35">
        <v>1081.1878655392411</v>
      </c>
      <c r="H86" s="5">
        <v>1048.668863910103</v>
      </c>
      <c r="I86" s="5">
        <v>1048.669160657812</v>
      </c>
      <c r="J86" s="5">
        <v>1048.685354614465</v>
      </c>
      <c r="K86" s="5">
        <v>1122.75</v>
      </c>
      <c r="L86" s="5">
        <v>1177.267584599362</v>
      </c>
      <c r="M86" s="5">
        <v>1125.650105306773</v>
      </c>
      <c r="N86" s="5">
        <v>1226.410444184733</v>
      </c>
      <c r="O86" s="5">
        <v>1192.819955169093</v>
      </c>
      <c r="P86">
        <v>1077.2279702615799</v>
      </c>
      <c r="Q86" s="5">
        <v>1294.737187747427</v>
      </c>
      <c r="R86" s="5">
        <v>1225.0791015625</v>
      </c>
      <c r="S86" s="5">
        <v>1244.5753173828125</v>
      </c>
      <c r="T86" s="5">
        <v>1321.3620289825117</v>
      </c>
      <c r="U86" s="5">
        <v>1259.2516319544807</v>
      </c>
      <c r="V86" s="5">
        <v>1103.1135253655914</v>
      </c>
      <c r="W86" s="5">
        <v>1197.758423764976</v>
      </c>
      <c r="X86" s="5">
        <v>1158.8495908679481</v>
      </c>
      <c r="Y86" s="5">
        <v>926.85862445095188</v>
      </c>
    </row>
    <row r="87" spans="1:25">
      <c r="A87">
        <v>131.76</v>
      </c>
      <c r="B87">
        <v>2.38</v>
      </c>
      <c r="C87">
        <v>235</v>
      </c>
      <c r="D87">
        <v>17.399999999999999</v>
      </c>
      <c r="E87">
        <v>2.0036429872495449</v>
      </c>
      <c r="F87">
        <v>535</v>
      </c>
      <c r="G87" s="35">
        <v>845.64807041030099</v>
      </c>
      <c r="H87" s="5">
        <v>102.6559535733809</v>
      </c>
      <c r="I87" s="5">
        <v>102.6563971717792</v>
      </c>
      <c r="J87" s="5">
        <v>102.7637147233349</v>
      </c>
      <c r="K87" s="5">
        <v>755.24</v>
      </c>
      <c r="L87" s="5">
        <v>723.59786668117556</v>
      </c>
      <c r="M87" s="5">
        <v>704.32135922330099</v>
      </c>
      <c r="N87" s="5">
        <v>592.32949976959662</v>
      </c>
      <c r="O87" s="5">
        <v>741.36463356699664</v>
      </c>
      <c r="P87">
        <v>576.26727382511569</v>
      </c>
      <c r="Q87" s="5">
        <v>721.68423789404324</v>
      </c>
      <c r="R87" s="5">
        <v>577.5291748046875</v>
      </c>
      <c r="S87" s="5">
        <v>473.0809326171875</v>
      </c>
      <c r="T87" s="5">
        <v>739.29137825512953</v>
      </c>
      <c r="U87" s="5">
        <v>588.69666703283917</v>
      </c>
      <c r="V87" s="5">
        <v>516.47175770734566</v>
      </c>
      <c r="W87" s="5">
        <v>485.95450585082244</v>
      </c>
    </row>
    <row r="88" spans="1:25">
      <c r="A88">
        <v>300</v>
      </c>
      <c r="B88">
        <v>2.96</v>
      </c>
      <c r="C88">
        <v>279</v>
      </c>
      <c r="D88">
        <v>41.1</v>
      </c>
      <c r="E88">
        <v>3</v>
      </c>
      <c r="F88">
        <v>3152</v>
      </c>
      <c r="G88" s="35">
        <v>3277</v>
      </c>
      <c r="H88" s="5">
        <v>6295.728165925133</v>
      </c>
      <c r="I88" s="5">
        <v>6295.7274216354836</v>
      </c>
      <c r="J88" s="5">
        <v>6295.7559233480788</v>
      </c>
      <c r="K88" s="5">
        <v>4778.5</v>
      </c>
      <c r="L88" s="5">
        <v>3934.8402908890298</v>
      </c>
      <c r="M88" s="5">
        <v>3277</v>
      </c>
      <c r="N88" s="5">
        <v>3187.104801664183</v>
      </c>
      <c r="O88" s="5">
        <v>3316.7903450166318</v>
      </c>
      <c r="P88">
        <v>3341.2388367022882</v>
      </c>
      <c r="Q88" s="5">
        <v>3457.0535141938458</v>
      </c>
      <c r="R88" s="5">
        <v>3280.295654296875</v>
      </c>
      <c r="S88" s="5">
        <v>3472.967529296875</v>
      </c>
      <c r="T88" s="5">
        <v>3597.3915999744554</v>
      </c>
      <c r="U88" s="5">
        <v>4040.1241984971325</v>
      </c>
      <c r="V88" s="5">
        <v>3387.7525964398023</v>
      </c>
      <c r="W88" s="5">
        <v>3309.4677693220337</v>
      </c>
      <c r="Y88" s="5">
        <v>3390.3525451857959</v>
      </c>
    </row>
    <row r="89" spans="1:25">
      <c r="A89">
        <v>204</v>
      </c>
      <c r="B89">
        <v>2</v>
      </c>
      <c r="C89">
        <v>235.3596</v>
      </c>
      <c r="D89">
        <v>10.093004179999999</v>
      </c>
      <c r="E89">
        <v>4.3137254901960782</v>
      </c>
      <c r="F89">
        <v>1068.9248531216399</v>
      </c>
      <c r="G89" s="35">
        <v>1039.5049030357229</v>
      </c>
      <c r="H89" s="5">
        <v>2260.2816730570512</v>
      </c>
      <c r="I89" s="5">
        <v>2260.2814888974021</v>
      </c>
      <c r="J89" s="5">
        <v>2260.3217140202719</v>
      </c>
      <c r="K89" s="5">
        <v>1509.3215457818419</v>
      </c>
      <c r="L89" s="5">
        <v>1117.0594528589641</v>
      </c>
      <c r="M89" s="5">
        <v>1039.5049030357261</v>
      </c>
      <c r="N89" s="5">
        <v>1071.5280859838149</v>
      </c>
      <c r="O89" s="5">
        <v>1033.814232103143</v>
      </c>
      <c r="P89">
        <v>1050.634095292708</v>
      </c>
      <c r="Q89" s="5">
        <v>1109.9772207233989</v>
      </c>
      <c r="R89" s="5">
        <v>1039.283325195312</v>
      </c>
      <c r="S89" s="5">
        <v>1243.8857421875</v>
      </c>
      <c r="T89" s="5">
        <v>961.05776019175369</v>
      </c>
      <c r="U89" s="5">
        <v>801.00620142467881</v>
      </c>
      <c r="V89" s="5">
        <v>701.14269557558112</v>
      </c>
      <c r="W89" s="5">
        <v>639.94900131355348</v>
      </c>
    </row>
    <row r="90" spans="1:25">
      <c r="A90">
        <v>151</v>
      </c>
      <c r="B90">
        <v>4</v>
      </c>
      <c r="C90">
        <v>438</v>
      </c>
      <c r="D90">
        <v>46.831412032875782</v>
      </c>
      <c r="E90">
        <v>3.311258278145695</v>
      </c>
      <c r="F90">
        <v>2743.1</v>
      </c>
      <c r="G90" s="35">
        <v>2727.6</v>
      </c>
      <c r="H90" s="5">
        <v>2406.777041903777</v>
      </c>
      <c r="I90" s="5">
        <v>2406.7770511622698</v>
      </c>
      <c r="J90" s="5">
        <v>2406.7706099188981</v>
      </c>
      <c r="K90" s="5">
        <v>2262.0749999999998</v>
      </c>
      <c r="L90" s="5">
        <v>2469.0665834594761</v>
      </c>
      <c r="M90" s="5">
        <v>2724.2873462783068</v>
      </c>
      <c r="N90" s="5">
        <v>2356.0958978367398</v>
      </c>
      <c r="O90" s="5">
        <v>2542.2350206920082</v>
      </c>
      <c r="P90">
        <v>2506.856066507155</v>
      </c>
      <c r="Q90" s="5">
        <v>2236.788090334649</v>
      </c>
      <c r="R90" s="5">
        <v>2728.723388671875</v>
      </c>
      <c r="S90" s="5">
        <v>2208.67138671875</v>
      </c>
      <c r="T90" s="5">
        <v>2059.4592425587907</v>
      </c>
      <c r="U90" s="5">
        <v>2062.8802141128945</v>
      </c>
      <c r="V90" s="5">
        <v>1810.7601044633384</v>
      </c>
      <c r="W90" s="5">
        <v>1901.5556408104012</v>
      </c>
      <c r="X90" s="5">
        <v>1854.5880904286851</v>
      </c>
      <c r="Y90" s="5">
        <v>1507.3129861983939</v>
      </c>
    </row>
    <row r="91" spans="1:25">
      <c r="A91">
        <v>108</v>
      </c>
      <c r="B91">
        <v>6.47</v>
      </c>
      <c r="C91">
        <v>853</v>
      </c>
      <c r="D91">
        <v>40.5</v>
      </c>
      <c r="E91">
        <v>3</v>
      </c>
      <c r="F91">
        <v>2402</v>
      </c>
      <c r="G91" s="35">
        <v>3074.4115071818051</v>
      </c>
      <c r="H91" s="5">
        <v>3217.245453542314</v>
      </c>
      <c r="I91" s="5">
        <v>3217.245524346547</v>
      </c>
      <c r="J91" s="5">
        <v>3217.1577700163648</v>
      </c>
      <c r="K91" s="5">
        <v>1589.41</v>
      </c>
      <c r="L91" s="5">
        <v>2109.8601878024469</v>
      </c>
      <c r="M91" s="5">
        <v>2350.4033980582522</v>
      </c>
      <c r="N91" s="5">
        <v>2027.84477508752</v>
      </c>
      <c r="O91" s="5">
        <v>2301.3359087167328</v>
      </c>
      <c r="P91">
        <v>2356.4839347214661</v>
      </c>
      <c r="Q91" s="5">
        <v>2157.5141972827118</v>
      </c>
      <c r="R91" s="5">
        <v>2265.64013671875</v>
      </c>
      <c r="S91" s="5">
        <v>2559.156005859375</v>
      </c>
      <c r="T91" s="5">
        <v>2381.4029025593168</v>
      </c>
      <c r="U91" s="5">
        <v>2963.1586214742915</v>
      </c>
      <c r="V91" s="5">
        <v>2845.5942469228253</v>
      </c>
      <c r="W91" s="5">
        <v>2439.1923819161575</v>
      </c>
    </row>
    <row r="92" spans="1:25">
      <c r="A92">
        <v>218.25</v>
      </c>
      <c r="B92">
        <v>6.5</v>
      </c>
      <c r="C92">
        <v>302.04482000000002</v>
      </c>
      <c r="D92">
        <v>30.767383710000001</v>
      </c>
      <c r="E92">
        <v>4.3207331042382586</v>
      </c>
      <c r="F92">
        <v>2755.6686580475312</v>
      </c>
      <c r="G92" s="35">
        <v>2978.1958584380209</v>
      </c>
      <c r="H92" s="5">
        <v>4607.370323793888</v>
      </c>
      <c r="I92" s="5">
        <v>4607.3700653397846</v>
      </c>
      <c r="J92" s="5">
        <v>4607.3615007390708</v>
      </c>
      <c r="K92" s="5">
        <v>4521.24</v>
      </c>
      <c r="L92" s="5">
        <v>3606.2894851009778</v>
      </c>
      <c r="M92" s="5">
        <v>3345.4821015563912</v>
      </c>
      <c r="N92" s="5">
        <v>3478.660634581775</v>
      </c>
      <c r="O92" s="5">
        <v>3134.9636757489839</v>
      </c>
      <c r="P92">
        <v>3653.2879884259169</v>
      </c>
      <c r="Q92" s="5">
        <v>3404.5247283261419</v>
      </c>
      <c r="R92" s="5">
        <v>3109.322265625</v>
      </c>
      <c r="S92" s="5">
        <v>3126.298828125</v>
      </c>
      <c r="T92" s="5">
        <v>3204.6138993058803</v>
      </c>
      <c r="U92" s="5">
        <v>3133.790072928226</v>
      </c>
      <c r="V92" s="5">
        <v>2765.0411524668089</v>
      </c>
      <c r="W92" s="5">
        <v>2805.0039792055122</v>
      </c>
      <c r="X92" s="5">
        <v>2742.0686721801999</v>
      </c>
      <c r="Y92" s="5">
        <v>2244.0763407841418</v>
      </c>
    </row>
    <row r="93" spans="1:25">
      <c r="A93">
        <v>133</v>
      </c>
      <c r="B93">
        <v>4.7</v>
      </c>
      <c r="C93">
        <v>352</v>
      </c>
      <c r="D93">
        <v>106.02</v>
      </c>
      <c r="E93">
        <v>3.496240601503759</v>
      </c>
      <c r="F93">
        <v>2158</v>
      </c>
      <c r="G93" s="35">
        <v>2263</v>
      </c>
      <c r="H93" s="5">
        <v>2804.4556961977</v>
      </c>
      <c r="I93" s="5">
        <v>2804.4556723523592</v>
      </c>
      <c r="J93" s="5">
        <v>2804.4092140822481</v>
      </c>
      <c r="K93" s="5">
        <v>2044.1428571428571</v>
      </c>
      <c r="L93" s="5">
        <v>2239.3855760633028</v>
      </c>
      <c r="M93" s="5">
        <v>2262.4915048543689</v>
      </c>
      <c r="N93" s="5">
        <v>2231.1329114654159</v>
      </c>
      <c r="O93" s="5">
        <v>2212.12530843276</v>
      </c>
      <c r="P93">
        <v>2264.8752775930911</v>
      </c>
      <c r="Q93" s="5">
        <v>1977.3030453674071</v>
      </c>
      <c r="R93" s="5">
        <v>2259.941162109375</v>
      </c>
      <c r="S93" s="5">
        <v>2376.2138671875</v>
      </c>
      <c r="T93" s="5">
        <v>2331.0845102012177</v>
      </c>
      <c r="U93" s="5">
        <v>2232.3200266224858</v>
      </c>
      <c r="V93" s="5">
        <v>2012.7314839505352</v>
      </c>
    </row>
    <row r="94" spans="1:25">
      <c r="A94">
        <v>104</v>
      </c>
      <c r="B94">
        <v>2</v>
      </c>
      <c r="C94">
        <v>344</v>
      </c>
      <c r="D94">
        <v>32.65</v>
      </c>
      <c r="E94">
        <v>5.0384615384615383</v>
      </c>
      <c r="F94">
        <v>540</v>
      </c>
      <c r="G94" s="35">
        <v>666.97477858356297</v>
      </c>
      <c r="H94" s="5">
        <v>-124.9313350679959</v>
      </c>
      <c r="I94" s="5">
        <v>-124.93123860653439</v>
      </c>
      <c r="J94" s="5">
        <v>-124.9334190109635</v>
      </c>
      <c r="K94" s="5">
        <v>730.52499999999998</v>
      </c>
      <c r="L94" s="5">
        <v>583.71666723736837</v>
      </c>
      <c r="M94" s="5">
        <v>598.58284245293873</v>
      </c>
      <c r="N94" s="5">
        <v>563.17996529720858</v>
      </c>
      <c r="O94" s="5">
        <v>524.55225877884425</v>
      </c>
      <c r="P94">
        <v>624.36611117673579</v>
      </c>
      <c r="Q94" s="5">
        <v>628.89974203093425</v>
      </c>
      <c r="R94" s="5">
        <v>554.2445068359375</v>
      </c>
      <c r="S94" s="5">
        <v>624.7071533203125</v>
      </c>
      <c r="T94" s="5">
        <v>620.41954719101057</v>
      </c>
      <c r="U94" s="5">
        <v>613.58483816374098</v>
      </c>
      <c r="V94" s="5">
        <v>534.95039505892441</v>
      </c>
      <c r="W94" s="5">
        <v>519.85611733824351</v>
      </c>
      <c r="X94" s="5">
        <v>524.83136850855237</v>
      </c>
      <c r="Y94" s="5">
        <v>454.37890441176393</v>
      </c>
    </row>
    <row r="95" spans="1:25">
      <c r="A95">
        <v>358</v>
      </c>
      <c r="B95">
        <v>5.66</v>
      </c>
      <c r="C95">
        <v>290</v>
      </c>
      <c r="D95">
        <v>73.2</v>
      </c>
      <c r="E95">
        <v>2</v>
      </c>
      <c r="F95">
        <v>10045</v>
      </c>
      <c r="G95" s="35">
        <v>9778</v>
      </c>
      <c r="H95" s="5">
        <v>9299.7048560796829</v>
      </c>
      <c r="I95" s="5">
        <v>9299.7038964225139</v>
      </c>
      <c r="J95" s="5">
        <v>9299.7451604792077</v>
      </c>
      <c r="K95" s="5">
        <v>11251.857142857139</v>
      </c>
      <c r="L95" s="5">
        <v>9667.4172127256061</v>
      </c>
      <c r="M95" s="5">
        <v>9778</v>
      </c>
      <c r="N95" s="5">
        <v>10213.837251387329</v>
      </c>
      <c r="O95" s="5">
        <v>9614.2905852091153</v>
      </c>
      <c r="P95">
        <v>10180.848462778231</v>
      </c>
      <c r="Q95" s="5">
        <v>9608.9999999999964</v>
      </c>
      <c r="R95" s="5">
        <v>9767.7373046875</v>
      </c>
      <c r="S95" s="5">
        <v>9912.2900390625</v>
      </c>
      <c r="T95" s="5">
        <v>10138.524022933014</v>
      </c>
      <c r="U95" s="5">
        <v>9853.0352501496091</v>
      </c>
      <c r="V95" s="5">
        <v>8247.0820398524102</v>
      </c>
    </row>
    <row r="96" spans="1:25">
      <c r="A96">
        <v>166</v>
      </c>
      <c r="B96">
        <v>5</v>
      </c>
      <c r="C96">
        <v>274.60000000000002</v>
      </c>
      <c r="D96">
        <v>16.643024288945991</v>
      </c>
      <c r="E96">
        <v>3.975903614457831</v>
      </c>
      <c r="F96">
        <v>1695</v>
      </c>
      <c r="G96" s="35">
        <v>1735</v>
      </c>
      <c r="H96" s="5">
        <v>2145.835383445828</v>
      </c>
      <c r="I96" s="5">
        <v>2145.835515030888</v>
      </c>
      <c r="J96" s="5">
        <v>2145.8600666419611</v>
      </c>
      <c r="K96" s="5">
        <v>1845.017711946015</v>
      </c>
      <c r="L96" s="5">
        <v>1749.565793776105</v>
      </c>
      <c r="M96" s="5">
        <v>1744.57537507602</v>
      </c>
      <c r="N96" s="5">
        <v>1701.341067259073</v>
      </c>
      <c r="O96" s="5">
        <v>1753.393259793437</v>
      </c>
      <c r="P96">
        <v>1770.8168962195759</v>
      </c>
      <c r="Q96" s="5">
        <v>1763.9645656743101</v>
      </c>
      <c r="R96" s="5">
        <v>1734.363037109375</v>
      </c>
      <c r="S96" s="5">
        <v>1848.2379150390625</v>
      </c>
      <c r="T96" s="5">
        <v>1657.2986040334981</v>
      </c>
      <c r="U96" s="5">
        <v>1443.1283466600025</v>
      </c>
      <c r="V96" s="5">
        <v>1291.6378650011957</v>
      </c>
      <c r="W96" s="5">
        <v>1211.7429393247573</v>
      </c>
    </row>
    <row r="97" spans="1:25">
      <c r="A97">
        <v>129</v>
      </c>
      <c r="B97">
        <v>3</v>
      </c>
      <c r="C97">
        <v>306</v>
      </c>
      <c r="D97">
        <v>47.04</v>
      </c>
      <c r="E97">
        <v>3</v>
      </c>
      <c r="F97">
        <v>1162</v>
      </c>
      <c r="G97" s="35">
        <v>1112.969146383271</v>
      </c>
      <c r="H97" s="5">
        <v>963.75922219279209</v>
      </c>
      <c r="I97" s="5">
        <v>963.75942890793795</v>
      </c>
      <c r="J97" s="5">
        <v>963.79830858587752</v>
      </c>
      <c r="K97" s="5">
        <v>1200.8571428571429</v>
      </c>
      <c r="L97" s="5">
        <v>1119.0939598277139</v>
      </c>
      <c r="M97" s="5">
        <v>1104.008953059986</v>
      </c>
      <c r="N97" s="5">
        <v>1210.3359182310951</v>
      </c>
      <c r="O97" s="5">
        <v>1202.768667495769</v>
      </c>
      <c r="P97">
        <v>1200.9723057577189</v>
      </c>
      <c r="Q97" s="5">
        <v>1269.351531440494</v>
      </c>
      <c r="R97" s="5">
        <v>1152.750732421875</v>
      </c>
      <c r="S97" s="5">
        <v>1178.2716064453125</v>
      </c>
      <c r="T97" s="5">
        <v>1234.1347363344221</v>
      </c>
      <c r="U97" s="5">
        <v>1147.6212830822287</v>
      </c>
      <c r="V97" s="5">
        <v>990.42904129195051</v>
      </c>
      <c r="W97" s="5">
        <v>1112.7581707165543</v>
      </c>
      <c r="X97" s="5">
        <v>1080.28477632879</v>
      </c>
      <c r="Y97" s="5">
        <v>887.47584898008779</v>
      </c>
    </row>
    <row r="98" spans="1:25">
      <c r="A98">
        <v>251</v>
      </c>
      <c r="B98">
        <v>3.2</v>
      </c>
      <c r="C98">
        <v>265</v>
      </c>
      <c r="D98">
        <v>24.638000000000002</v>
      </c>
      <c r="E98">
        <v>4.1832669322709162</v>
      </c>
      <c r="F98">
        <v>2033</v>
      </c>
      <c r="G98" s="35">
        <v>2015.544982791833</v>
      </c>
      <c r="H98" s="5">
        <v>4525.974903892331</v>
      </c>
      <c r="I98" s="5">
        <v>4525.9743714077804</v>
      </c>
      <c r="J98" s="5">
        <v>4525.9831049861541</v>
      </c>
      <c r="K98" s="5">
        <v>3181.5183552900662</v>
      </c>
      <c r="L98" s="5">
        <v>2691.32244213474</v>
      </c>
      <c r="M98" s="5">
        <v>2701.7775487728768</v>
      </c>
      <c r="N98" s="5">
        <v>2069.544736992334</v>
      </c>
      <c r="O98" s="5">
        <v>2194.1649805705852</v>
      </c>
      <c r="P98">
        <v>2151.1824277539449</v>
      </c>
      <c r="Q98" s="5">
        <v>2336.0921423294708</v>
      </c>
      <c r="R98" s="5">
        <v>1966.39697265625</v>
      </c>
      <c r="S98" s="5">
        <v>1978.94677734375</v>
      </c>
      <c r="T98" s="5">
        <v>2074.5670206114405</v>
      </c>
      <c r="U98" s="5">
        <v>2227.1863670946882</v>
      </c>
      <c r="V98" s="5">
        <v>1914.6803773662218</v>
      </c>
      <c r="W98" s="5">
        <v>1817.2837677265043</v>
      </c>
      <c r="Y98" s="5">
        <v>1737.122422912176</v>
      </c>
    </row>
    <row r="99" spans="1:25">
      <c r="A99">
        <v>111.3</v>
      </c>
      <c r="B99">
        <v>2</v>
      </c>
      <c r="C99">
        <v>354.6</v>
      </c>
      <c r="D99">
        <v>60.75</v>
      </c>
      <c r="E99">
        <v>3.045822102425876</v>
      </c>
      <c r="F99">
        <v>855</v>
      </c>
      <c r="G99" s="35">
        <v>1039.1532860463431</v>
      </c>
      <c r="H99" s="5">
        <v>582.07688585039523</v>
      </c>
      <c r="I99" s="5">
        <v>582.07706258375788</v>
      </c>
      <c r="J99" s="5">
        <v>582.09897645733076</v>
      </c>
      <c r="K99" s="5">
        <v>919.16428571428571</v>
      </c>
      <c r="L99" s="5">
        <v>915.98000446428671</v>
      </c>
      <c r="M99" s="5">
        <v>980.48747572815557</v>
      </c>
      <c r="N99" s="5">
        <v>952.6344261212713</v>
      </c>
      <c r="O99" s="5">
        <v>911.99448325203525</v>
      </c>
      <c r="P99">
        <v>994.83229285840537</v>
      </c>
      <c r="Q99" s="5">
        <v>1107.2859477375</v>
      </c>
      <c r="R99" s="5">
        <v>1115.452514648438</v>
      </c>
      <c r="S99" s="5">
        <v>780.8016357421875</v>
      </c>
      <c r="T99" s="5">
        <v>1080.1633779249501</v>
      </c>
      <c r="U99" s="5">
        <v>943.83904526776507</v>
      </c>
      <c r="V99" s="5">
        <v>803.83201878918976</v>
      </c>
      <c r="W99" s="5">
        <v>834.07684987636867</v>
      </c>
      <c r="Y99" s="5">
        <v>757.56190177934491</v>
      </c>
    </row>
    <row r="100" spans="1:25">
      <c r="A100">
        <v>140</v>
      </c>
      <c r="B100">
        <v>4.5</v>
      </c>
      <c r="C100">
        <v>462.9</v>
      </c>
      <c r="D100">
        <v>27.16</v>
      </c>
      <c r="E100">
        <v>3</v>
      </c>
      <c r="F100">
        <v>1646.7</v>
      </c>
      <c r="G100" s="35">
        <v>1662.3</v>
      </c>
      <c r="H100" s="5">
        <v>1960.3257264847441</v>
      </c>
      <c r="I100" s="5">
        <v>1960.325895923799</v>
      </c>
      <c r="J100" s="5">
        <v>1960.3227306120521</v>
      </c>
      <c r="K100" s="5">
        <v>1645.1923076923081</v>
      </c>
      <c r="L100" s="5">
        <v>1571.678263950658</v>
      </c>
      <c r="M100" s="5">
        <v>1661.4118122977279</v>
      </c>
      <c r="N100" s="5">
        <v>1540.2788891310761</v>
      </c>
      <c r="O100" s="5">
        <v>1624.9892208298961</v>
      </c>
      <c r="P100">
        <v>1632.6961815212551</v>
      </c>
      <c r="Q100" s="5">
        <v>1528.971359994146</v>
      </c>
      <c r="R100" s="5">
        <v>1656.707641601562</v>
      </c>
      <c r="S100" s="5">
        <v>1810.181640625</v>
      </c>
      <c r="T100" s="5">
        <v>1734.8208977786567</v>
      </c>
      <c r="U100" s="5">
        <v>1802.5625982873362</v>
      </c>
      <c r="V100" s="5">
        <v>1616.7289726721763</v>
      </c>
      <c r="W100" s="5">
        <v>1507.6515273580726</v>
      </c>
      <c r="Y100" s="5">
        <v>1224.798757998994</v>
      </c>
    </row>
    <row r="101" spans="1:25">
      <c r="A101">
        <v>235</v>
      </c>
      <c r="B101">
        <v>5.66</v>
      </c>
      <c r="C101">
        <v>290</v>
      </c>
      <c r="D101">
        <v>73.2</v>
      </c>
      <c r="E101">
        <v>2</v>
      </c>
      <c r="F101">
        <v>5096</v>
      </c>
      <c r="G101" s="35">
        <v>5218.5</v>
      </c>
      <c r="H101" s="5">
        <v>5324.5723095752519</v>
      </c>
      <c r="I101" s="5">
        <v>5324.5720381831034</v>
      </c>
      <c r="J101" s="5">
        <v>5324.5808832042621</v>
      </c>
      <c r="K101" s="5">
        <v>5391.9</v>
      </c>
      <c r="L101" s="5">
        <v>5352.5815260905474</v>
      </c>
      <c r="M101" s="5">
        <v>5218.5</v>
      </c>
      <c r="N101" s="5">
        <v>4955.45400701584</v>
      </c>
      <c r="O101" s="5">
        <v>5362.6938220111369</v>
      </c>
      <c r="P101">
        <v>5519.8062832938431</v>
      </c>
      <c r="Q101" s="5">
        <v>5392.4505972964535</v>
      </c>
      <c r="R101" s="5">
        <v>5221.10791015625</v>
      </c>
      <c r="S101" s="5">
        <v>5251.412109375</v>
      </c>
      <c r="T101" s="5">
        <v>5213.6242997761665</v>
      </c>
      <c r="U101" s="5">
        <v>4792.2791821779083</v>
      </c>
      <c r="V101" s="5">
        <v>4069.0038039997289</v>
      </c>
    </row>
    <row r="102" spans="1:25">
      <c r="A102">
        <v>165.1</v>
      </c>
      <c r="B102">
        <v>3</v>
      </c>
      <c r="C102">
        <v>438.2</v>
      </c>
      <c r="D102">
        <v>22.9183601613287</v>
      </c>
      <c r="E102">
        <v>6.0569351907934594</v>
      </c>
      <c r="F102">
        <v>1549.5</v>
      </c>
      <c r="G102" s="35">
        <v>1010.29453025088</v>
      </c>
      <c r="H102" s="5">
        <v>2318.972682386127</v>
      </c>
      <c r="I102" s="5">
        <v>2318.9723320940848</v>
      </c>
      <c r="J102" s="5">
        <v>2318.931901490349</v>
      </c>
      <c r="K102" s="5">
        <v>1226.359976</v>
      </c>
      <c r="L102" s="5">
        <v>1538.8223527373291</v>
      </c>
      <c r="M102" s="5">
        <v>1588.4880700270839</v>
      </c>
      <c r="N102" s="5">
        <v>1294.9271697878869</v>
      </c>
      <c r="O102" s="5">
        <v>1636.93022268393</v>
      </c>
      <c r="P102">
        <v>1570.198793192008</v>
      </c>
      <c r="Q102" s="5">
        <v>1369.3022684193761</v>
      </c>
      <c r="R102" s="5">
        <v>1484.217895507812</v>
      </c>
      <c r="S102" s="5">
        <v>1260.1561279296875</v>
      </c>
      <c r="T102" s="5">
        <v>1318.3941834463433</v>
      </c>
      <c r="U102" s="5">
        <v>1540.1614418779109</v>
      </c>
      <c r="V102" s="5">
        <v>1366.1469089231439</v>
      </c>
      <c r="W102" s="5">
        <v>1231.6731692094738</v>
      </c>
      <c r="Y102" s="5">
        <v>1067.900184103034</v>
      </c>
    </row>
    <row r="103" spans="1:25">
      <c r="A103">
        <v>114.29</v>
      </c>
      <c r="B103">
        <v>3.75</v>
      </c>
      <c r="C103">
        <v>343</v>
      </c>
      <c r="D103">
        <v>46.080000000000013</v>
      </c>
      <c r="E103">
        <v>2.624901566191268</v>
      </c>
      <c r="F103">
        <v>1067</v>
      </c>
      <c r="G103" s="35">
        <v>1058.133638645148</v>
      </c>
      <c r="H103" s="5">
        <v>731.24632207160721</v>
      </c>
      <c r="I103" s="5">
        <v>731.24670948297444</v>
      </c>
      <c r="J103" s="5">
        <v>731.2931063430558</v>
      </c>
      <c r="K103" s="5">
        <v>876.26080817667525</v>
      </c>
      <c r="L103" s="5">
        <v>1075.216553630873</v>
      </c>
      <c r="M103" s="5">
        <v>1087.235794644557</v>
      </c>
      <c r="N103" s="5">
        <v>1168.705101411816</v>
      </c>
      <c r="O103" s="5">
        <v>1178.489418805769</v>
      </c>
      <c r="P103">
        <v>1178.1910409230791</v>
      </c>
      <c r="Q103" s="5">
        <v>1203.382457197896</v>
      </c>
      <c r="R103" s="5">
        <v>1182.997924804688</v>
      </c>
      <c r="S103" s="5">
        <v>1064.3555908203125</v>
      </c>
      <c r="T103" s="5">
        <v>1218.6708274895752</v>
      </c>
      <c r="U103" s="5">
        <v>1136.3462350118473</v>
      </c>
      <c r="V103" s="5">
        <v>996.99863061187602</v>
      </c>
      <c r="W103" s="5">
        <v>1075.8612153024171</v>
      </c>
      <c r="X103" s="5">
        <v>1067.937794671067</v>
      </c>
      <c r="Y103" s="5">
        <v>834.05102279102323</v>
      </c>
    </row>
    <row r="104" spans="1:25">
      <c r="A104">
        <v>108</v>
      </c>
      <c r="B104">
        <v>4.5</v>
      </c>
      <c r="C104">
        <v>409.64</v>
      </c>
      <c r="D104">
        <v>28.6</v>
      </c>
      <c r="E104">
        <v>3.7037037037037042</v>
      </c>
      <c r="F104">
        <v>1871.8</v>
      </c>
      <c r="G104" s="35">
        <v>1148.604545454546</v>
      </c>
      <c r="H104" s="5">
        <v>795.13409263569292</v>
      </c>
      <c r="I104" s="5">
        <v>795.1343997156539</v>
      </c>
      <c r="J104" s="5">
        <v>795.13485494540032</v>
      </c>
      <c r="K104" s="5">
        <v>1251.6675232</v>
      </c>
      <c r="L104" s="5">
        <v>1161.0175619515419</v>
      </c>
      <c r="M104" s="5">
        <v>1132.8666690602761</v>
      </c>
      <c r="N104" s="5">
        <v>1197.8038212663951</v>
      </c>
      <c r="O104" s="5">
        <v>1176.227326352235</v>
      </c>
      <c r="P104">
        <v>1177.023894327725</v>
      </c>
      <c r="Q104" s="5">
        <v>1095.1145805281269</v>
      </c>
      <c r="R104" s="5">
        <v>1136.510620117188</v>
      </c>
      <c r="S104" s="5">
        <v>1226.3460693359375</v>
      </c>
      <c r="T104" s="5">
        <v>1201.5852058142677</v>
      </c>
      <c r="U104" s="5">
        <v>1191.1558234828958</v>
      </c>
      <c r="V104" s="5">
        <v>1069.6086191103561</v>
      </c>
      <c r="W104" s="5">
        <v>1008.4729192276545</v>
      </c>
      <c r="X104" s="5">
        <v>1018.713092512283</v>
      </c>
      <c r="Y104" s="5">
        <v>799.69425335803635</v>
      </c>
    </row>
    <row r="105" spans="1:25">
      <c r="A105">
        <v>140</v>
      </c>
      <c r="B105">
        <v>5.3</v>
      </c>
      <c r="C105">
        <v>378.3</v>
      </c>
      <c r="D105">
        <v>51.5</v>
      </c>
      <c r="E105">
        <v>6</v>
      </c>
      <c r="F105">
        <v>1664</v>
      </c>
      <c r="G105" s="35">
        <v>1626.188036466104</v>
      </c>
      <c r="H105" s="5">
        <v>2449.922877589956</v>
      </c>
      <c r="I105" s="5">
        <v>2449.9227164904769</v>
      </c>
      <c r="J105" s="5">
        <v>2449.8448987141392</v>
      </c>
      <c r="K105" s="5">
        <v>1634.21</v>
      </c>
      <c r="L105" s="5">
        <v>1722.7535894706309</v>
      </c>
      <c r="M105" s="5">
        <v>1756.6138720288579</v>
      </c>
      <c r="N105" s="5">
        <v>1627.7705272562259</v>
      </c>
      <c r="O105" s="5">
        <v>1588.4834926883709</v>
      </c>
      <c r="P105">
        <v>1703.611961468278</v>
      </c>
      <c r="Q105" s="5">
        <v>1728.512596121356</v>
      </c>
      <c r="R105" s="5">
        <v>1651.396606445312</v>
      </c>
      <c r="S105" s="5">
        <v>1711.9224853515625</v>
      </c>
      <c r="T105" s="5">
        <v>1740.292261971482</v>
      </c>
      <c r="U105" s="5">
        <v>2051.7758046726285</v>
      </c>
      <c r="V105" s="5">
        <v>1807.3921926591861</v>
      </c>
      <c r="W105" s="5">
        <v>1900.5091267472403</v>
      </c>
      <c r="X105" s="5">
        <v>1590.9910206792019</v>
      </c>
      <c r="Y105" s="5">
        <v>1446.037959973004</v>
      </c>
    </row>
    <row r="106" spans="1:25">
      <c r="A106">
        <v>165</v>
      </c>
      <c r="B106">
        <v>2.4300000000000002</v>
      </c>
      <c r="C106">
        <v>350</v>
      </c>
      <c r="D106">
        <v>68.7</v>
      </c>
      <c r="E106">
        <v>3.0909090909090908</v>
      </c>
      <c r="F106">
        <v>2080</v>
      </c>
      <c r="G106" s="35">
        <v>2136.8348623853208</v>
      </c>
      <c r="H106" s="5">
        <v>2379.9106228273008</v>
      </c>
      <c r="I106" s="5">
        <v>2379.9104994425479</v>
      </c>
      <c r="J106" s="5">
        <v>2379.9154371855739</v>
      </c>
      <c r="K106" s="5">
        <v>2067.7909090909088</v>
      </c>
      <c r="L106" s="5">
        <v>2101.8563402897839</v>
      </c>
      <c r="M106" s="5">
        <v>2138.941322711808</v>
      </c>
      <c r="N106" s="5">
        <v>2412.425596636022</v>
      </c>
      <c r="O106" s="5">
        <v>2339.4176088279578</v>
      </c>
      <c r="P106">
        <v>2214.6211450630121</v>
      </c>
      <c r="Q106" s="5">
        <v>2112.053891774051</v>
      </c>
      <c r="R106" s="5">
        <v>2204.85009765625</v>
      </c>
      <c r="S106" s="5">
        <v>2359.951171875</v>
      </c>
      <c r="T106" s="5">
        <v>2161.6195522060798</v>
      </c>
      <c r="U106" s="5">
        <v>2087.400917062173</v>
      </c>
      <c r="V106" s="5">
        <v>1757.2031197594949</v>
      </c>
      <c r="W106" s="5">
        <v>1815.7513014961228</v>
      </c>
      <c r="Y106" s="5">
        <v>1728.0093293692821</v>
      </c>
    </row>
    <row r="107" spans="1:25">
      <c r="A107">
        <v>96</v>
      </c>
      <c r="B107">
        <v>5</v>
      </c>
      <c r="C107">
        <v>410.89863500000001</v>
      </c>
      <c r="D107">
        <v>27.755761495000002</v>
      </c>
      <c r="E107">
        <v>4.6875</v>
      </c>
      <c r="F107">
        <v>1044.4082280500429</v>
      </c>
      <c r="G107" s="35">
        <v>1166.991353408029</v>
      </c>
      <c r="H107" s="5">
        <v>631.99382546560855</v>
      </c>
      <c r="I107" s="5">
        <v>631.99412204479063</v>
      </c>
      <c r="J107" s="5">
        <v>631.97222670409724</v>
      </c>
      <c r="K107" s="5">
        <v>1007.4868565038209</v>
      </c>
      <c r="L107" s="5">
        <v>1129.843114187986</v>
      </c>
      <c r="M107" s="5">
        <v>1165.246489711034</v>
      </c>
      <c r="N107" s="5">
        <v>1104.7966646189061</v>
      </c>
      <c r="O107" s="5">
        <v>1122.2614153362019</v>
      </c>
      <c r="P107">
        <v>1107.4187847375019</v>
      </c>
      <c r="Q107" s="5">
        <v>1046.249475929995</v>
      </c>
      <c r="R107" s="5">
        <v>1160.19970703125</v>
      </c>
      <c r="S107" s="5">
        <v>1058.2518310546875</v>
      </c>
      <c r="T107" s="5">
        <v>1076.3637806799466</v>
      </c>
      <c r="U107" s="5">
        <v>1112.7325987551801</v>
      </c>
      <c r="V107" s="5">
        <v>1002.9520575375221</v>
      </c>
      <c r="W107" s="5">
        <v>918.00633966207442</v>
      </c>
      <c r="Y107" s="5">
        <v>727.42859237821801</v>
      </c>
    </row>
    <row r="108" spans="1:25">
      <c r="A108">
        <v>166</v>
      </c>
      <c r="B108">
        <v>5</v>
      </c>
      <c r="C108">
        <v>288.10000000000002</v>
      </c>
      <c r="D108">
        <v>29.72</v>
      </c>
      <c r="E108">
        <v>6.2650602409638552</v>
      </c>
      <c r="F108">
        <v>1495</v>
      </c>
      <c r="G108" s="35">
        <v>1429.1448470949099</v>
      </c>
      <c r="H108" s="5">
        <v>2569.6027258565518</v>
      </c>
      <c r="I108" s="5">
        <v>2569.6025010509652</v>
      </c>
      <c r="J108" s="5">
        <v>2569.56528887166</v>
      </c>
      <c r="K108" s="5">
        <v>1630.3285714285721</v>
      </c>
      <c r="L108" s="5">
        <v>1574.359300667096</v>
      </c>
      <c r="M108" s="5">
        <v>1491.9405560075611</v>
      </c>
      <c r="N108" s="5">
        <v>1528.851662008444</v>
      </c>
      <c r="O108" s="5">
        <v>1526.5454539225109</v>
      </c>
      <c r="P108">
        <v>1554.4357983113459</v>
      </c>
      <c r="Q108" s="5">
        <v>1710.0381756717941</v>
      </c>
      <c r="R108" s="5">
        <v>1583.453369140625</v>
      </c>
      <c r="S108" s="5">
        <v>1754.5634765625</v>
      </c>
      <c r="T108" s="5">
        <v>1579.3116930054086</v>
      </c>
      <c r="U108" s="5">
        <v>1748.3833024232979</v>
      </c>
      <c r="V108" s="5">
        <v>1542.5837270393197</v>
      </c>
      <c r="W108" s="5">
        <v>1585.7009888532805</v>
      </c>
      <c r="X108" s="5">
        <v>1399.145763353278</v>
      </c>
      <c r="Y108" s="5">
        <v>1235.689893820331</v>
      </c>
    </row>
    <row r="109" spans="1:25">
      <c r="A109">
        <v>219</v>
      </c>
      <c r="B109">
        <v>4</v>
      </c>
      <c r="C109">
        <v>325</v>
      </c>
      <c r="D109">
        <v>47.6</v>
      </c>
      <c r="E109">
        <v>4.5662100456621006</v>
      </c>
      <c r="F109">
        <v>1931</v>
      </c>
      <c r="G109" s="35">
        <v>3166.7972038727589</v>
      </c>
      <c r="H109" s="5">
        <v>4291.0342390505812</v>
      </c>
      <c r="I109" s="5">
        <v>4291.0337691058448</v>
      </c>
      <c r="J109" s="5">
        <v>4291.004641406651</v>
      </c>
      <c r="K109" s="5">
        <v>3196.1</v>
      </c>
      <c r="L109" s="5">
        <v>2911.045294342543</v>
      </c>
      <c r="M109" s="5">
        <v>3157.248115042305</v>
      </c>
      <c r="N109" s="5">
        <v>2621.6181617389711</v>
      </c>
      <c r="O109" s="5">
        <v>2526.7791231485421</v>
      </c>
      <c r="P109">
        <v>2901.304549003893</v>
      </c>
      <c r="Q109" s="5">
        <v>3030.7913575123648</v>
      </c>
      <c r="R109" s="5">
        <v>2648.72998046875</v>
      </c>
      <c r="S109" s="5">
        <v>3305.60546875</v>
      </c>
      <c r="T109" s="5">
        <v>2830.0530477921347</v>
      </c>
      <c r="U109" s="5">
        <v>3086.8972113315294</v>
      </c>
      <c r="V109" s="5">
        <v>2645.2788017575012</v>
      </c>
      <c r="W109" s="5">
        <v>2552.6946308859119</v>
      </c>
      <c r="X109" s="5">
        <v>2745.4237933715922</v>
      </c>
      <c r="Y109" s="5">
        <v>2410.6405333929702</v>
      </c>
    </row>
    <row r="110" spans="1:25">
      <c r="A110">
        <v>57.15</v>
      </c>
      <c r="B110">
        <v>1.25</v>
      </c>
      <c r="C110">
        <v>250</v>
      </c>
      <c r="D110">
        <v>33.92</v>
      </c>
      <c r="E110">
        <v>6.1242344706911638</v>
      </c>
      <c r="F110">
        <v>126.4</v>
      </c>
      <c r="G110" s="35">
        <v>147.45761844759269</v>
      </c>
      <c r="H110" s="5">
        <v>-1902.0168756816399</v>
      </c>
      <c r="I110" s="5">
        <v>-1902.016604968713</v>
      </c>
      <c r="J110" s="5">
        <v>-1902.012579923346</v>
      </c>
      <c r="K110" s="5">
        <v>171.02285714285719</v>
      </c>
      <c r="L110" s="5">
        <v>149.14269711538481</v>
      </c>
      <c r="M110" s="5">
        <v>139.9893689320391</v>
      </c>
      <c r="N110" s="5">
        <v>131.05110889312391</v>
      </c>
      <c r="O110" s="5">
        <v>131.08151416910169</v>
      </c>
      <c r="P110">
        <v>120.9197257391269</v>
      </c>
      <c r="Q110" s="5">
        <v>164.95</v>
      </c>
      <c r="R110" s="5">
        <v>135.6117858886719</v>
      </c>
      <c r="S110" s="5">
        <v>-33.256465911865234</v>
      </c>
      <c r="T110" s="5">
        <v>140.09599136616106</v>
      </c>
      <c r="U110" s="5">
        <v>168.4708396679726</v>
      </c>
      <c r="V110" s="5">
        <v>145.71771774105923</v>
      </c>
      <c r="W110" s="5">
        <v>164.45520307882018</v>
      </c>
      <c r="X110" s="5">
        <v>142.1397365028842</v>
      </c>
      <c r="Y110" s="5">
        <v>127.0619385508526</v>
      </c>
    </row>
    <row r="111" spans="1:25">
      <c r="A111">
        <v>107.9</v>
      </c>
      <c r="B111">
        <v>7.99</v>
      </c>
      <c r="C111">
        <v>251.8</v>
      </c>
      <c r="D111">
        <v>59</v>
      </c>
      <c r="E111">
        <v>3.1696014828544952</v>
      </c>
      <c r="F111">
        <v>1249</v>
      </c>
      <c r="G111" s="35">
        <v>1869.814642765642</v>
      </c>
      <c r="H111" s="5">
        <v>1669.4143785187341</v>
      </c>
      <c r="I111" s="5">
        <v>1669.4149901465571</v>
      </c>
      <c r="J111" s="5">
        <v>1669.4158407964669</v>
      </c>
      <c r="K111" s="5">
        <v>1565.424285714286</v>
      </c>
      <c r="L111" s="5">
        <v>1550.433934647177</v>
      </c>
      <c r="M111" s="5">
        <v>1696.0035849917731</v>
      </c>
      <c r="N111" s="5">
        <v>1360.8314721190461</v>
      </c>
      <c r="O111" s="5">
        <v>1373.219241472774</v>
      </c>
      <c r="P111">
        <v>1385.142699012295</v>
      </c>
      <c r="Q111" s="5">
        <v>1447.992037904138</v>
      </c>
      <c r="R111" s="5">
        <v>1425.619262695312</v>
      </c>
      <c r="S111" s="5">
        <v>460.89315795898438</v>
      </c>
      <c r="T111" s="5">
        <v>1447.8771540278308</v>
      </c>
      <c r="U111" s="5">
        <v>1414.5288775115921</v>
      </c>
      <c r="V111" s="5">
        <v>1248.9476808791676</v>
      </c>
      <c r="Y111" s="5">
        <v>996.74029559322366</v>
      </c>
    </row>
    <row r="112" spans="1:25">
      <c r="A112">
        <v>114</v>
      </c>
      <c r="B112">
        <v>3.6</v>
      </c>
      <c r="C112">
        <v>300</v>
      </c>
      <c r="D112">
        <v>33.430466935522098</v>
      </c>
      <c r="E112">
        <v>2.192982456140351</v>
      </c>
      <c r="F112">
        <v>1042</v>
      </c>
      <c r="G112" s="35">
        <v>1321.162545644886</v>
      </c>
      <c r="H112" s="5">
        <v>283.42861125727683</v>
      </c>
      <c r="I112" s="5">
        <v>283.42913909849989</v>
      </c>
      <c r="J112" s="5">
        <v>283.50954701284991</v>
      </c>
      <c r="K112" s="5">
        <v>876.26080817667525</v>
      </c>
      <c r="L112" s="5">
        <v>977.13369607844822</v>
      </c>
      <c r="M112" s="5">
        <v>937.74806002673563</v>
      </c>
      <c r="N112" s="5">
        <v>1001.95638108318</v>
      </c>
      <c r="O112" s="5">
        <v>1139.140976578653</v>
      </c>
      <c r="P112">
        <v>1141.8195064428689</v>
      </c>
      <c r="Q112" s="5">
        <v>955.24660874211554</v>
      </c>
      <c r="R112" s="5">
        <v>1076.5751953125</v>
      </c>
      <c r="S112" s="5">
        <v>901.874755859375</v>
      </c>
      <c r="T112" s="5">
        <v>1085.8589504751094</v>
      </c>
      <c r="U112" s="5">
        <v>906.30179839305276</v>
      </c>
      <c r="V112" s="5">
        <v>798.88094133799825</v>
      </c>
      <c r="W112" s="5">
        <v>841.96757993381516</v>
      </c>
      <c r="X112" s="5">
        <v>880.45602806710826</v>
      </c>
      <c r="Y112" s="5">
        <v>656.88966031032646</v>
      </c>
    </row>
    <row r="113" spans="1:25">
      <c r="A113">
        <v>133</v>
      </c>
      <c r="B113">
        <v>5</v>
      </c>
      <c r="C113">
        <v>306</v>
      </c>
      <c r="D113">
        <v>59.68</v>
      </c>
      <c r="E113">
        <v>3</v>
      </c>
      <c r="F113">
        <v>1712</v>
      </c>
      <c r="G113" s="35">
        <v>1731.9806451612901</v>
      </c>
      <c r="H113" s="5">
        <v>1920.9273633135319</v>
      </c>
      <c r="I113" s="5">
        <v>1920.9275918433609</v>
      </c>
      <c r="J113" s="5">
        <v>1920.9307527221381</v>
      </c>
      <c r="K113" s="5">
        <v>1627.875</v>
      </c>
      <c r="L113" s="5">
        <v>1735.7889310108301</v>
      </c>
      <c r="M113" s="5">
        <v>1754.611138079827</v>
      </c>
      <c r="N113" s="5">
        <v>1603.702056069608</v>
      </c>
      <c r="O113" s="5">
        <v>1692.3067629416071</v>
      </c>
      <c r="P113">
        <v>1705.4828160524189</v>
      </c>
      <c r="Q113" s="5">
        <v>1591.365836227314</v>
      </c>
      <c r="R113" s="5">
        <v>1729.377563476562</v>
      </c>
      <c r="S113" s="5">
        <v>1701.1690673828125</v>
      </c>
      <c r="T113" s="5">
        <v>1743.7078457460127</v>
      </c>
      <c r="U113" s="5">
        <v>1705.8391949739278</v>
      </c>
      <c r="V113" s="5">
        <v>1485.0635071408396</v>
      </c>
      <c r="W113" s="5">
        <v>1616.1343940565571</v>
      </c>
      <c r="Y113" s="5">
        <v>1279.501116741993</v>
      </c>
    </row>
    <row r="114" spans="1:25">
      <c r="A114">
        <v>108</v>
      </c>
      <c r="B114">
        <v>4</v>
      </c>
      <c r="C114">
        <v>327.10000000000002</v>
      </c>
      <c r="D114">
        <v>39.229999999999997</v>
      </c>
      <c r="E114">
        <v>5</v>
      </c>
      <c r="F114">
        <v>836</v>
      </c>
      <c r="G114" s="35">
        <v>834.93594401848009</v>
      </c>
      <c r="H114" s="5">
        <v>679.66505263677641</v>
      </c>
      <c r="I114" s="5">
        <v>679.66520904428944</v>
      </c>
      <c r="J114" s="5">
        <v>679.6421386380373</v>
      </c>
      <c r="K114" s="5">
        <v>914.93714285714282</v>
      </c>
      <c r="L114" s="5">
        <v>912.76838667002289</v>
      </c>
      <c r="M114" s="5">
        <v>916.60792880258919</v>
      </c>
      <c r="N114" s="5">
        <v>863.66274956252369</v>
      </c>
      <c r="O114" s="5">
        <v>983.67563314424854</v>
      </c>
      <c r="P114">
        <v>867.48474174068485</v>
      </c>
      <c r="Q114" s="5">
        <v>1062.635202276482</v>
      </c>
      <c r="R114" s="5">
        <v>942.49420166015625</v>
      </c>
      <c r="S114" s="5">
        <v>854.8671875</v>
      </c>
      <c r="T114" s="5">
        <v>987.61336735139298</v>
      </c>
      <c r="U114" s="5">
        <v>1000.6419713149951</v>
      </c>
      <c r="V114" s="5">
        <v>884.22260885421929</v>
      </c>
      <c r="W114" s="5">
        <v>926.92646204825292</v>
      </c>
      <c r="X114" s="5">
        <v>829.6190287264069</v>
      </c>
      <c r="Y114" s="5">
        <v>706.9757670123106</v>
      </c>
    </row>
    <row r="115" spans="1:25">
      <c r="A115">
        <v>129</v>
      </c>
      <c r="B115">
        <v>3</v>
      </c>
      <c r="C115">
        <v>306</v>
      </c>
      <c r="D115">
        <v>61.12</v>
      </c>
      <c r="E115">
        <v>3</v>
      </c>
      <c r="F115">
        <v>1356</v>
      </c>
      <c r="G115" s="35">
        <v>1285.2180094786729</v>
      </c>
      <c r="H115" s="5">
        <v>1104.060745583713</v>
      </c>
      <c r="I115" s="5">
        <v>1104.060937648645</v>
      </c>
      <c r="J115" s="5">
        <v>1104.091856288306</v>
      </c>
      <c r="K115" s="5">
        <v>1246.384615384615</v>
      </c>
      <c r="L115" s="5">
        <v>1288.0705163430171</v>
      </c>
      <c r="M115" s="5">
        <v>1316.6376860841419</v>
      </c>
      <c r="N115" s="5">
        <v>1329.648163712769</v>
      </c>
      <c r="O115" s="5">
        <v>1383.530265998631</v>
      </c>
      <c r="P115">
        <v>1309.1576804443321</v>
      </c>
      <c r="Q115" s="5">
        <v>1275.0007776004529</v>
      </c>
      <c r="R115" s="5">
        <v>1294.914184570312</v>
      </c>
      <c r="S115" s="5">
        <v>1426.52587890625</v>
      </c>
      <c r="T115" s="5">
        <v>1408.4674923319374</v>
      </c>
      <c r="U115" s="5">
        <v>1314.9239095839118</v>
      </c>
      <c r="V115" s="5">
        <v>1124.271142493297</v>
      </c>
      <c r="W115" s="5">
        <v>1289.5068086444169</v>
      </c>
      <c r="Y115" s="5">
        <v>1044.2018860941209</v>
      </c>
    </row>
    <row r="116" spans="1:25">
      <c r="A116">
        <v>89.32</v>
      </c>
      <c r="B116">
        <v>2.74</v>
      </c>
      <c r="C116">
        <v>360</v>
      </c>
      <c r="D116">
        <v>20.451412656051279</v>
      </c>
      <c r="E116">
        <v>3.8065382892969102</v>
      </c>
      <c r="F116">
        <v>582</v>
      </c>
      <c r="G116" s="35">
        <v>607.80461311481179</v>
      </c>
      <c r="H116" s="5">
        <v>-587.56423253639514</v>
      </c>
      <c r="I116" s="5">
        <v>-587.56379854928628</v>
      </c>
      <c r="J116" s="5">
        <v>-587.5195800551528</v>
      </c>
      <c r="K116" s="5">
        <v>567</v>
      </c>
      <c r="L116" s="5">
        <v>582.26001831501833</v>
      </c>
      <c r="M116" s="5">
        <v>608.39836895046517</v>
      </c>
      <c r="N116" s="5">
        <v>567.26043119403698</v>
      </c>
      <c r="O116" s="5">
        <v>548.15106329284549</v>
      </c>
      <c r="P116">
        <v>583.79037087946631</v>
      </c>
      <c r="Q116" s="5">
        <v>598.99999999999989</v>
      </c>
      <c r="R116" s="5">
        <v>572.1114501953125</v>
      </c>
      <c r="S116" s="5">
        <v>541.7779541015625</v>
      </c>
      <c r="T116" s="5">
        <v>596.94163950275799</v>
      </c>
      <c r="U116" s="5">
        <v>547.55150979078303</v>
      </c>
      <c r="V116" s="5">
        <v>490.98752029736579</v>
      </c>
      <c r="W116" s="5">
        <v>462.0287090435362</v>
      </c>
    </row>
    <row r="117" spans="1:25">
      <c r="A117">
        <v>101.3</v>
      </c>
      <c r="B117">
        <v>3.03</v>
      </c>
      <c r="C117">
        <v>371</v>
      </c>
      <c r="D117">
        <v>40.200000000000003</v>
      </c>
      <c r="E117">
        <v>3.0108588351431389</v>
      </c>
      <c r="F117">
        <v>742</v>
      </c>
      <c r="G117" s="35">
        <v>836.90512347405513</v>
      </c>
      <c r="H117" s="5">
        <v>186.706966132715</v>
      </c>
      <c r="I117" s="5">
        <v>186.70731963570049</v>
      </c>
      <c r="J117" s="5">
        <v>186.74265381662741</v>
      </c>
      <c r="K117" s="5">
        <v>824.28571428571433</v>
      </c>
      <c r="L117" s="5">
        <v>839.78955119688396</v>
      </c>
      <c r="M117" s="5">
        <v>858.28869762391423</v>
      </c>
      <c r="N117" s="5">
        <v>775.32651123177766</v>
      </c>
      <c r="O117" s="5">
        <v>791.33705390470766</v>
      </c>
      <c r="P117">
        <v>808.12403461682129</v>
      </c>
      <c r="Q117" s="5">
        <v>781.51869168803864</v>
      </c>
      <c r="R117" s="5">
        <v>857.05853271484375</v>
      </c>
      <c r="S117" s="5">
        <v>831.642333984375</v>
      </c>
      <c r="T117" s="5">
        <v>919.82951129488026</v>
      </c>
      <c r="U117" s="5">
        <v>848.60286741466382</v>
      </c>
      <c r="V117" s="5">
        <v>747.43079655883946</v>
      </c>
      <c r="W117" s="5">
        <v>793.27994909012943</v>
      </c>
      <c r="X117" s="5">
        <v>780.25299727725405</v>
      </c>
      <c r="Y117" s="5">
        <v>614.43819278054809</v>
      </c>
    </row>
    <row r="118" spans="1:25">
      <c r="A118">
        <v>469</v>
      </c>
      <c r="B118">
        <v>4.66</v>
      </c>
      <c r="C118">
        <v>291</v>
      </c>
      <c r="D118">
        <v>73.2</v>
      </c>
      <c r="E118">
        <v>2</v>
      </c>
      <c r="F118">
        <v>16670</v>
      </c>
      <c r="G118" s="35">
        <v>15827</v>
      </c>
      <c r="H118" s="5">
        <v>12537.355533921091</v>
      </c>
      <c r="I118" s="5">
        <v>12537.353833390031</v>
      </c>
      <c r="J118" s="5">
        <v>12537.31942428756</v>
      </c>
      <c r="K118" s="5">
        <v>24981</v>
      </c>
      <c r="L118" s="5">
        <v>16531.956765109891</v>
      </c>
      <c r="M118" s="5">
        <v>15827</v>
      </c>
      <c r="N118" s="5">
        <v>11898.136869432001</v>
      </c>
      <c r="O118" s="5">
        <v>16044.456602339889</v>
      </c>
      <c r="P118">
        <v>15116.08078344766</v>
      </c>
      <c r="Q118" s="5">
        <v>15826.999999999991</v>
      </c>
      <c r="R118" s="5">
        <v>15831.544921875</v>
      </c>
      <c r="S118" s="5">
        <v>15437.53125</v>
      </c>
      <c r="T118" s="5">
        <v>14995.994891686987</v>
      </c>
      <c r="U118" s="5">
        <v>15352.851622542092</v>
      </c>
      <c r="V118" s="5">
        <v>12681.79427487762</v>
      </c>
    </row>
    <row r="119" spans="1:25">
      <c r="A119">
        <v>113.64</v>
      </c>
      <c r="B119">
        <v>3.64</v>
      </c>
      <c r="C119">
        <v>259.60000000000002</v>
      </c>
      <c r="D119">
        <v>45.360000000000007</v>
      </c>
      <c r="E119">
        <v>3.519887363604365</v>
      </c>
      <c r="F119">
        <v>1011</v>
      </c>
      <c r="G119" s="35">
        <v>786.25389054794323</v>
      </c>
      <c r="H119" s="5">
        <v>422.36739469710437</v>
      </c>
      <c r="I119" s="5">
        <v>422.36774172350442</v>
      </c>
      <c r="J119" s="5">
        <v>422.4092714128933</v>
      </c>
      <c r="K119" s="5">
        <v>876.26080817667525</v>
      </c>
      <c r="L119" s="5">
        <v>967.42655185503702</v>
      </c>
      <c r="M119" s="5">
        <v>996.47022364482564</v>
      </c>
      <c r="N119" s="5">
        <v>1084.7791480917749</v>
      </c>
      <c r="O119" s="5">
        <v>1109.54824719919</v>
      </c>
      <c r="P119">
        <v>1154.690339479748</v>
      </c>
      <c r="Q119" s="5">
        <v>998.79750590653111</v>
      </c>
      <c r="R119" s="5">
        <v>1044.884399414062</v>
      </c>
      <c r="S119" s="5">
        <v>993.6402587890625</v>
      </c>
      <c r="T119" s="5">
        <v>1029.3799722471015</v>
      </c>
      <c r="U119" s="5">
        <v>932.02320173211001</v>
      </c>
      <c r="V119" s="5">
        <v>809.95525185449026</v>
      </c>
      <c r="W119" s="5">
        <v>902.89664647520306</v>
      </c>
      <c r="X119" s="5">
        <v>856.18883249344401</v>
      </c>
      <c r="Y119" s="5">
        <v>703.16700115929621</v>
      </c>
    </row>
    <row r="120" spans="1:25">
      <c r="A120">
        <v>100</v>
      </c>
      <c r="B120">
        <v>2</v>
      </c>
      <c r="C120">
        <v>236.18</v>
      </c>
      <c r="D120">
        <v>36.700000000000003</v>
      </c>
      <c r="E120">
        <v>6</v>
      </c>
      <c r="F120">
        <v>512.5</v>
      </c>
      <c r="G120" s="35">
        <v>558.6</v>
      </c>
      <c r="H120" s="5">
        <v>-537.49853328564177</v>
      </c>
      <c r="I120" s="5">
        <v>-537.49845481639795</v>
      </c>
      <c r="J120" s="5">
        <v>-537.50467384460126</v>
      </c>
      <c r="K120" s="5">
        <v>519.14545454545453</v>
      </c>
      <c r="L120" s="5">
        <v>541.94922985001301</v>
      </c>
      <c r="M120" s="5">
        <v>558.40776699029323</v>
      </c>
      <c r="N120" s="5">
        <v>499.27278918469489</v>
      </c>
      <c r="O120" s="5">
        <v>540.02443372125003</v>
      </c>
      <c r="P120">
        <v>536.31603692376154</v>
      </c>
      <c r="Q120" s="5">
        <v>529.82289149254302</v>
      </c>
      <c r="R120" s="5">
        <v>559.3516845703125</v>
      </c>
      <c r="S120" s="5">
        <v>544.3836669921875</v>
      </c>
      <c r="T120" s="5">
        <v>516.33179573632856</v>
      </c>
      <c r="U120" s="5">
        <v>501.23694087175579</v>
      </c>
      <c r="V120" s="5">
        <v>430.04357748549279</v>
      </c>
      <c r="W120" s="5">
        <v>439.99642380480702</v>
      </c>
      <c r="X120" s="5">
        <v>431.22703158587598</v>
      </c>
      <c r="Y120" s="5">
        <v>387.38954350081769</v>
      </c>
    </row>
    <row r="121" spans="1:25">
      <c r="A121">
        <v>133</v>
      </c>
      <c r="B121">
        <v>4.5</v>
      </c>
      <c r="C121">
        <v>323.3</v>
      </c>
      <c r="D121">
        <v>47.993030199063703</v>
      </c>
      <c r="E121">
        <v>2.533834586466166</v>
      </c>
      <c r="F121">
        <v>1440</v>
      </c>
      <c r="G121" s="35">
        <v>1480.044244698378</v>
      </c>
      <c r="H121" s="5">
        <v>1566.0072445310591</v>
      </c>
      <c r="I121" s="5">
        <v>1566.007567790595</v>
      </c>
      <c r="J121" s="5">
        <v>1566.0389081457829</v>
      </c>
      <c r="K121" s="5">
        <v>1601.9416666666671</v>
      </c>
      <c r="L121" s="5">
        <v>1610.112156245548</v>
      </c>
      <c r="M121" s="5">
        <v>1533.1254841165039</v>
      </c>
      <c r="N121" s="5">
        <v>1727.3991027443551</v>
      </c>
      <c r="O121" s="5">
        <v>1521.369890266963</v>
      </c>
      <c r="P121">
        <v>1460.576123596489</v>
      </c>
      <c r="Q121" s="5">
        <v>1644.565836413519</v>
      </c>
      <c r="R121" s="5">
        <v>1510.449096679688</v>
      </c>
      <c r="S121" s="5">
        <v>1679.6273193359375</v>
      </c>
      <c r="T121" s="5">
        <v>1608.3913956062001</v>
      </c>
      <c r="U121" s="5">
        <v>1531.0279502403275</v>
      </c>
      <c r="V121" s="5">
        <v>1340.2826530136642</v>
      </c>
      <c r="W121" s="5">
        <v>1447.8451896812051</v>
      </c>
      <c r="X121" s="5">
        <v>1448.572292693492</v>
      </c>
      <c r="Y121" s="5">
        <v>1132.095421043801</v>
      </c>
    </row>
    <row r="122" spans="1:25">
      <c r="A122">
        <v>142</v>
      </c>
      <c r="B122">
        <v>4.3</v>
      </c>
      <c r="C122">
        <v>433</v>
      </c>
      <c r="D122">
        <v>52.817897634910423</v>
      </c>
      <c r="E122">
        <v>2.950704225352113</v>
      </c>
      <c r="F122">
        <v>1580</v>
      </c>
      <c r="G122" s="35">
        <v>1528.303988228354</v>
      </c>
      <c r="H122" s="5">
        <v>2284.436214302777</v>
      </c>
      <c r="I122" s="5">
        <v>2284.436311223154</v>
      </c>
      <c r="J122" s="5">
        <v>2284.426546961211</v>
      </c>
      <c r="K122" s="5">
        <v>1645.1923076923081</v>
      </c>
      <c r="L122" s="5">
        <v>1660.0000618117101</v>
      </c>
      <c r="M122" s="5">
        <v>1515.2085895361381</v>
      </c>
      <c r="N122" s="5">
        <v>1638.262056189285</v>
      </c>
      <c r="O122" s="5">
        <v>1538.7458139804439</v>
      </c>
      <c r="P122">
        <v>1580.0577513004239</v>
      </c>
      <c r="Q122" s="5">
        <v>1807.0659558825309</v>
      </c>
      <c r="R122" s="5">
        <v>1499.659057617188</v>
      </c>
      <c r="S122" s="5">
        <v>1727.1612548828125</v>
      </c>
      <c r="T122" s="5">
        <v>2038.143855375527</v>
      </c>
      <c r="U122" s="5">
        <v>2043.048379695889</v>
      </c>
      <c r="V122" s="5">
        <v>1793.4615487256847</v>
      </c>
      <c r="W122" s="5">
        <v>1904.9039527742309</v>
      </c>
      <c r="X122" s="5">
        <v>1864.2066020563809</v>
      </c>
      <c r="Y122" s="5">
        <v>1493.8960955839279</v>
      </c>
    </row>
    <row r="123" spans="1:25">
      <c r="A123">
        <v>219</v>
      </c>
      <c r="B123">
        <v>4.7300000000000004</v>
      </c>
      <c r="C123">
        <v>350</v>
      </c>
      <c r="D123">
        <v>41.9</v>
      </c>
      <c r="E123">
        <v>2.968036529680365</v>
      </c>
      <c r="F123">
        <v>2900</v>
      </c>
      <c r="G123" s="35">
        <v>3073.3333333333248</v>
      </c>
      <c r="H123" s="5">
        <v>4430.9962592151296</v>
      </c>
      <c r="I123" s="5">
        <v>4430.9960115741178</v>
      </c>
      <c r="J123" s="5">
        <v>4431.0031667691746</v>
      </c>
      <c r="K123" s="5">
        <v>3196.1</v>
      </c>
      <c r="L123" s="5">
        <v>3252.1588461538458</v>
      </c>
      <c r="M123" s="5">
        <v>3158.6254045307442</v>
      </c>
      <c r="N123" s="5">
        <v>3138.7361473300798</v>
      </c>
      <c r="O123" s="5">
        <v>3320.3896262909029</v>
      </c>
      <c r="P123">
        <v>3217.8920372010371</v>
      </c>
      <c r="Q123" s="5">
        <v>3120.1603645931441</v>
      </c>
      <c r="R123" s="5">
        <v>3358.5849609375</v>
      </c>
      <c r="S123" s="5">
        <v>3149.3076171875</v>
      </c>
      <c r="T123" s="5">
        <v>3143.8127361034904</v>
      </c>
      <c r="U123" s="5">
        <v>3250.2251645826641</v>
      </c>
      <c r="V123" s="5">
        <v>2822.4197566122689</v>
      </c>
      <c r="W123" s="5">
        <v>2983.6636115299175</v>
      </c>
      <c r="X123" s="5">
        <v>3047.0970755581511</v>
      </c>
      <c r="Y123" s="5">
        <v>2467.6244709154862</v>
      </c>
    </row>
    <row r="124" spans="1:25">
      <c r="A124">
        <v>159</v>
      </c>
      <c r="B124">
        <v>6</v>
      </c>
      <c r="C124">
        <v>405</v>
      </c>
      <c r="D124">
        <v>46.831412032875782</v>
      </c>
      <c r="E124">
        <v>3.1446540880503151</v>
      </c>
      <c r="F124">
        <v>3099.3</v>
      </c>
      <c r="G124" s="35">
        <v>2957.6</v>
      </c>
      <c r="H124" s="5">
        <v>3091.144987177131</v>
      </c>
      <c r="I124" s="5">
        <v>3091.1450812108942</v>
      </c>
      <c r="J124" s="5">
        <v>3091.1295048217739</v>
      </c>
      <c r="K124" s="5">
        <v>2885.5468072914359</v>
      </c>
      <c r="L124" s="5">
        <v>2956.9223623891698</v>
      </c>
      <c r="M124" s="5">
        <v>2957.599999999989</v>
      </c>
      <c r="N124" s="5">
        <v>2811.5536564815529</v>
      </c>
      <c r="O124" s="5">
        <v>2805.1341848536799</v>
      </c>
      <c r="P124">
        <v>2604.5470312493771</v>
      </c>
      <c r="Q124" s="5">
        <v>2746.0949133072968</v>
      </c>
      <c r="R124" s="5">
        <v>2948.50390625</v>
      </c>
      <c r="S124" s="5">
        <v>2642.667236328125</v>
      </c>
      <c r="T124" s="5">
        <v>2597.1130049745871</v>
      </c>
      <c r="U124" s="5">
        <v>2686.9878466820846</v>
      </c>
      <c r="V124" s="5">
        <v>2378.1067210948208</v>
      </c>
      <c r="W124" s="5">
        <v>2432.7551888586199</v>
      </c>
      <c r="X124" s="5">
        <v>2405.9803870623668</v>
      </c>
      <c r="Y124" s="5">
        <v>1906.4204354941321</v>
      </c>
    </row>
    <row r="125" spans="1:25">
      <c r="A125">
        <v>149</v>
      </c>
      <c r="B125">
        <v>3</v>
      </c>
      <c r="C125">
        <v>438</v>
      </c>
      <c r="D125">
        <v>46.831412032875782</v>
      </c>
      <c r="E125">
        <v>3.3557046979865768</v>
      </c>
      <c r="F125">
        <v>2361</v>
      </c>
      <c r="G125" s="35">
        <v>2394.1999999999998</v>
      </c>
      <c r="H125" s="5">
        <v>2057.6149253593398</v>
      </c>
      <c r="I125" s="5">
        <v>2057.6149002815032</v>
      </c>
      <c r="J125" s="5">
        <v>2057.613114402373</v>
      </c>
      <c r="K125" s="5">
        <v>2002.155555555556</v>
      </c>
      <c r="L125" s="5">
        <v>2228.5494339919292</v>
      </c>
      <c r="M125" s="5">
        <v>2395.225129449846</v>
      </c>
      <c r="N125" s="5">
        <v>2085.8447226772269</v>
      </c>
      <c r="O125" s="5">
        <v>2353.0831288768081</v>
      </c>
      <c r="P125">
        <v>2244.8229246970318</v>
      </c>
      <c r="Q125" s="5">
        <v>2093.8426160955969</v>
      </c>
      <c r="R125" s="5">
        <v>2390.281005859375</v>
      </c>
      <c r="S125" s="5">
        <v>2401.520263671875</v>
      </c>
      <c r="T125" s="5">
        <v>1767.0675902938863</v>
      </c>
      <c r="U125" s="5">
        <v>1728.5079416207186</v>
      </c>
      <c r="V125" s="5">
        <v>1503.1963640003523</v>
      </c>
      <c r="W125" s="5">
        <v>1435.5284423697428</v>
      </c>
      <c r="X125" s="5">
        <v>1571.9881792058959</v>
      </c>
      <c r="Y125" s="5">
        <v>1301.822720744349</v>
      </c>
    </row>
    <row r="126" spans="1:25">
      <c r="A126">
        <v>129</v>
      </c>
      <c r="B126">
        <v>3</v>
      </c>
      <c r="C126">
        <v>306</v>
      </c>
      <c r="D126">
        <v>42.960000000000008</v>
      </c>
      <c r="E126">
        <v>3</v>
      </c>
      <c r="F126">
        <v>1068</v>
      </c>
      <c r="G126" s="35">
        <v>1117.389436737423</v>
      </c>
      <c r="H126" s="5">
        <v>898.38422468879617</v>
      </c>
      <c r="I126" s="5">
        <v>898.38444701595859</v>
      </c>
      <c r="J126" s="5">
        <v>898.4268380135984</v>
      </c>
      <c r="K126" s="5">
        <v>1200.8571428571429</v>
      </c>
      <c r="L126" s="5">
        <v>1124.758071854299</v>
      </c>
      <c r="M126" s="5">
        <v>1096.401879550971</v>
      </c>
      <c r="N126" s="5">
        <v>1124.6336599098479</v>
      </c>
      <c r="O126" s="5">
        <v>1097.18077640106</v>
      </c>
      <c r="P126">
        <v>1176.5360255826861</v>
      </c>
      <c r="Q126" s="5">
        <v>1057.837437850005</v>
      </c>
      <c r="R126" s="5">
        <v>1102.07861328125</v>
      </c>
      <c r="S126" s="5">
        <v>1142.7896728515625</v>
      </c>
      <c r="T126" s="5">
        <v>1184.5217132349383</v>
      </c>
      <c r="U126" s="5">
        <v>1099.1415447209456</v>
      </c>
      <c r="V126" s="5">
        <v>951.64525060292419</v>
      </c>
      <c r="W126" s="5">
        <v>1057.8480199893913</v>
      </c>
      <c r="X126" s="5">
        <v>1034.4585940483009</v>
      </c>
      <c r="Y126" s="5">
        <v>842.01184633592038</v>
      </c>
    </row>
    <row r="127" spans="1:25">
      <c r="A127">
        <v>320</v>
      </c>
      <c r="B127">
        <v>7</v>
      </c>
      <c r="C127">
        <v>250.06957499999999</v>
      </c>
      <c r="D127">
        <v>43.9534053</v>
      </c>
      <c r="E127">
        <v>0.8125</v>
      </c>
      <c r="F127">
        <v>7913.9665731115929</v>
      </c>
      <c r="G127" s="35">
        <v>7393.5111998853399</v>
      </c>
      <c r="H127" s="5">
        <v>7789.3251915676601</v>
      </c>
      <c r="I127" s="5">
        <v>7789.324840548039</v>
      </c>
      <c r="J127" s="5">
        <v>7789.3802491362421</v>
      </c>
      <c r="K127" s="5">
        <v>5999.0670352489578</v>
      </c>
      <c r="L127" s="5">
        <v>7082.8197453268913</v>
      </c>
      <c r="M127" s="5">
        <v>7334.638814161156</v>
      </c>
      <c r="N127" s="5">
        <v>6072.8075335849626</v>
      </c>
      <c r="O127" s="5">
        <v>7588.7067347853426</v>
      </c>
      <c r="P127">
        <v>7401.3423721367662</v>
      </c>
      <c r="Q127" s="5">
        <v>6833.125100278492</v>
      </c>
      <c r="R127" s="5">
        <v>7736.56005859375</v>
      </c>
      <c r="S127" s="5">
        <v>7829.1103515625</v>
      </c>
      <c r="T127" s="5">
        <v>7664.0095180104936</v>
      </c>
      <c r="U127" s="5">
        <v>6020.8849889683215</v>
      </c>
      <c r="V127" s="5">
        <v>5159.8697705969671</v>
      </c>
      <c r="W127" s="5">
        <v>5525.9984364379752</v>
      </c>
      <c r="X127" s="5">
        <v>6264.8851825005149</v>
      </c>
      <c r="Y127" s="5">
        <v>4789.5692341097456</v>
      </c>
    </row>
    <row r="128" spans="1:25">
      <c r="A128">
        <v>150</v>
      </c>
      <c r="B128">
        <v>2</v>
      </c>
      <c r="C128">
        <v>216</v>
      </c>
      <c r="D128">
        <v>19.224</v>
      </c>
      <c r="E128">
        <v>4.1333333333333337</v>
      </c>
      <c r="F128">
        <v>760</v>
      </c>
      <c r="G128" s="35">
        <v>515.62988672551728</v>
      </c>
      <c r="H128" s="5">
        <v>589.65407487988296</v>
      </c>
      <c r="I128" s="5">
        <v>589.6542096968326</v>
      </c>
      <c r="J128" s="5">
        <v>589.71046792629181</v>
      </c>
      <c r="K128" s="5">
        <v>816.3555555555555</v>
      </c>
      <c r="L128" s="5">
        <v>791.42440932745012</v>
      </c>
      <c r="M128" s="5">
        <v>848.75128242319693</v>
      </c>
      <c r="N128" s="5">
        <v>927.20861654849273</v>
      </c>
      <c r="O128" s="5">
        <v>850.00967949552512</v>
      </c>
      <c r="P128">
        <v>763.32799098668022</v>
      </c>
      <c r="Q128" s="5">
        <v>744.21273948743226</v>
      </c>
      <c r="R128" s="5">
        <v>960.232666015625</v>
      </c>
      <c r="S128" s="5">
        <v>812.452880859375</v>
      </c>
      <c r="T128" s="5">
        <v>782.67352386059792</v>
      </c>
      <c r="U128" s="5">
        <v>647.23411035070535</v>
      </c>
      <c r="V128" s="5">
        <v>558.20814460268082</v>
      </c>
      <c r="W128" s="5">
        <v>546.83059622800488</v>
      </c>
    </row>
    <row r="129" spans="1:25">
      <c r="A129">
        <v>219.1</v>
      </c>
      <c r="B129">
        <v>5</v>
      </c>
      <c r="C129">
        <v>380</v>
      </c>
      <c r="D129">
        <v>179.547</v>
      </c>
      <c r="E129">
        <v>2.7384755819260609</v>
      </c>
      <c r="F129">
        <v>7837</v>
      </c>
      <c r="G129" s="35">
        <v>7320.4212013912074</v>
      </c>
      <c r="H129" s="5">
        <v>6701.6015849354817</v>
      </c>
      <c r="I129" s="5">
        <v>6701.6008237291617</v>
      </c>
      <c r="J129" s="5">
        <v>6701.4850422089721</v>
      </c>
      <c r="K129" s="5">
        <v>5391.9</v>
      </c>
      <c r="L129" s="5">
        <v>6225.6928543989025</v>
      </c>
      <c r="M129" s="5">
        <v>6140.9475728155339</v>
      </c>
      <c r="N129" s="5">
        <v>6396.9897269785324</v>
      </c>
      <c r="O129" s="5">
        <v>6073.7962558905901</v>
      </c>
      <c r="P129">
        <v>6354.5803344092228</v>
      </c>
      <c r="Q129" s="5">
        <v>5505.1203724016987</v>
      </c>
      <c r="R129" s="5">
        <v>6289.70703125</v>
      </c>
      <c r="S129" s="5">
        <v>6607.33544921875</v>
      </c>
      <c r="T129" s="5">
        <v>7741.4416611257093</v>
      </c>
      <c r="U129" s="5">
        <v>8005.8853098143891</v>
      </c>
      <c r="V129" s="5">
        <v>6843.2440680252121</v>
      </c>
    </row>
    <row r="130" spans="1:25">
      <c r="A130">
        <v>89.32</v>
      </c>
      <c r="B130">
        <v>2.74</v>
      </c>
      <c r="C130">
        <v>360</v>
      </c>
      <c r="D130">
        <v>25.924647170115811</v>
      </c>
      <c r="E130">
        <v>3.8065382892969102</v>
      </c>
      <c r="F130">
        <v>613</v>
      </c>
      <c r="G130" s="35">
        <v>591.07610959857209</v>
      </c>
      <c r="H130" s="5">
        <v>-430.60362675448278</v>
      </c>
      <c r="I130" s="5">
        <v>-430.60326330398578</v>
      </c>
      <c r="J130" s="5">
        <v>-430.59065063770407</v>
      </c>
      <c r="K130" s="5">
        <v>631.28571428571433</v>
      </c>
      <c r="L130" s="5">
        <v>590.10419384568399</v>
      </c>
      <c r="M130" s="5">
        <v>586.00552298295008</v>
      </c>
      <c r="N130" s="5">
        <v>592.17981362353487</v>
      </c>
      <c r="O130" s="5">
        <v>581.01026897336521</v>
      </c>
      <c r="P130">
        <v>590.42560116303946</v>
      </c>
      <c r="Q130" s="5">
        <v>604.69134545253621</v>
      </c>
      <c r="R130" s="5">
        <v>593.41973876953125</v>
      </c>
      <c r="S130" s="5">
        <v>576.83642578125</v>
      </c>
      <c r="T130" s="5">
        <v>633.85946951560595</v>
      </c>
      <c r="U130" s="5">
        <v>577.76747540494182</v>
      </c>
      <c r="V130" s="5">
        <v>515.16029278869291</v>
      </c>
      <c r="W130" s="5">
        <v>506.48474028173138</v>
      </c>
      <c r="Y130" s="5">
        <v>399.99530950016981</v>
      </c>
    </row>
    <row r="131" spans="1:25">
      <c r="A131">
        <v>141.4</v>
      </c>
      <c r="B131">
        <v>6.5</v>
      </c>
      <c r="C131">
        <v>313</v>
      </c>
      <c r="D131">
        <v>23.805</v>
      </c>
      <c r="E131">
        <v>4.490806223479491</v>
      </c>
      <c r="F131">
        <v>1825</v>
      </c>
      <c r="G131" s="35">
        <v>1881.595595715032</v>
      </c>
      <c r="H131" s="5">
        <v>2058.534942681531</v>
      </c>
      <c r="I131" s="5">
        <v>2058.535141698198</v>
      </c>
      <c r="J131" s="5">
        <v>2058.528535911757</v>
      </c>
      <c r="K131" s="5">
        <v>2577.3069902728239</v>
      </c>
      <c r="L131" s="5">
        <v>2519.290661064827</v>
      </c>
      <c r="M131" s="5">
        <v>2027.167715817973</v>
      </c>
      <c r="N131" s="5">
        <v>1579.742214670664</v>
      </c>
      <c r="O131" s="5">
        <v>1764.4682617706401</v>
      </c>
      <c r="P131">
        <v>1623.0877764773491</v>
      </c>
      <c r="Q131" s="5">
        <v>2181.6389320506278</v>
      </c>
      <c r="R131" s="5">
        <v>1908.652099609375</v>
      </c>
      <c r="S131" s="5">
        <v>1386.0816650390625</v>
      </c>
      <c r="T131" s="5">
        <v>1770.3949046829384</v>
      </c>
      <c r="U131" s="5">
        <v>1705.0403545638846</v>
      </c>
      <c r="V131" s="5">
        <v>1530.9452021238828</v>
      </c>
      <c r="W131" s="5">
        <v>1437.2987453236894</v>
      </c>
      <c r="Y131" s="5">
        <v>1140.2497673222911</v>
      </c>
    </row>
    <row r="132" spans="1:25">
      <c r="A132">
        <v>273</v>
      </c>
      <c r="B132">
        <v>8</v>
      </c>
      <c r="C132">
        <v>306.94814500000001</v>
      </c>
      <c r="D132">
        <v>9.8488185949999991</v>
      </c>
      <c r="E132">
        <v>4.0293040293040292</v>
      </c>
      <c r="F132">
        <v>4040.3398117992269</v>
      </c>
      <c r="G132" s="35">
        <v>3844.2068112264492</v>
      </c>
      <c r="H132" s="5">
        <v>6441.8989153682924</v>
      </c>
      <c r="I132" s="5">
        <v>6441.8985441301074</v>
      </c>
      <c r="J132" s="5">
        <v>6441.8798371292487</v>
      </c>
      <c r="K132" s="5">
        <v>5159.9132760207012</v>
      </c>
      <c r="L132" s="5">
        <v>4373.3968326304066</v>
      </c>
      <c r="M132" s="5">
        <v>3844.206811226441</v>
      </c>
      <c r="N132" s="5">
        <v>4825.9384718994488</v>
      </c>
      <c r="O132" s="5">
        <v>3892.1411321945689</v>
      </c>
      <c r="P132">
        <v>4070.2659003961389</v>
      </c>
      <c r="Q132" s="5">
        <v>4518.4033446882022</v>
      </c>
      <c r="R132" s="5">
        <v>3844.688720703125</v>
      </c>
      <c r="S132" s="5">
        <v>5491.30615234375</v>
      </c>
      <c r="T132" s="5">
        <v>4231.3491742357619</v>
      </c>
      <c r="U132" s="5">
        <v>3822.7177880699214</v>
      </c>
      <c r="V132" s="5">
        <v>3462.2601413347343</v>
      </c>
    </row>
    <row r="133" spans="1:25">
      <c r="A133">
        <v>132.44999999999999</v>
      </c>
      <c r="B133">
        <v>5.25</v>
      </c>
      <c r="C133">
        <v>235</v>
      </c>
      <c r="D133">
        <v>26.6</v>
      </c>
      <c r="E133">
        <v>1.9932049830124581</v>
      </c>
      <c r="F133">
        <v>872</v>
      </c>
      <c r="G133" s="35">
        <v>1049.5692107296491</v>
      </c>
      <c r="H133" s="5">
        <v>977.9346202322904</v>
      </c>
      <c r="I133" s="5">
        <v>977.93521619674016</v>
      </c>
      <c r="J133" s="5">
        <v>978.02818715880244</v>
      </c>
      <c r="K133" s="5">
        <v>664.47142857142865</v>
      </c>
      <c r="L133" s="5">
        <v>1154.3950513144689</v>
      </c>
      <c r="M133" s="5">
        <v>1042.095369103389</v>
      </c>
      <c r="N133" s="5">
        <v>1031.9302846010789</v>
      </c>
      <c r="O133" s="5">
        <v>1135.290477545966</v>
      </c>
      <c r="P133">
        <v>943.47147086666678</v>
      </c>
      <c r="Q133" s="5">
        <v>1120.9344316239019</v>
      </c>
      <c r="R133" s="5">
        <v>1039.837158203125</v>
      </c>
      <c r="S133" s="5">
        <v>1453.4910888671875</v>
      </c>
      <c r="T133" s="5">
        <v>1419.8758363140962</v>
      </c>
      <c r="U133" s="5">
        <v>1109.3873044870024</v>
      </c>
      <c r="V133" s="5">
        <v>983.736271123807</v>
      </c>
      <c r="W133" s="5">
        <v>1004.5746042362591</v>
      </c>
      <c r="Y133" s="5">
        <v>786.4928840398519</v>
      </c>
    </row>
    <row r="134" spans="1:25">
      <c r="A134">
        <v>111.64</v>
      </c>
      <c r="B134">
        <v>1.9</v>
      </c>
      <c r="C134">
        <v>261.3</v>
      </c>
      <c r="D134">
        <v>45.360000000000007</v>
      </c>
      <c r="E134">
        <v>3.582945180938732</v>
      </c>
      <c r="F134">
        <v>701.9</v>
      </c>
      <c r="G134" s="35">
        <v>1126.3177631938111</v>
      </c>
      <c r="H134" s="5">
        <v>-68.209775352472207</v>
      </c>
      <c r="I134" s="5">
        <v>-68.209540418263259</v>
      </c>
      <c r="J134" s="5">
        <v>-68.166698277033902</v>
      </c>
      <c r="K134" s="5">
        <v>917.91615384615386</v>
      </c>
      <c r="L134" s="5">
        <v>826.80456858674415</v>
      </c>
      <c r="M134" s="5">
        <v>841.50609223300978</v>
      </c>
      <c r="N134" s="5">
        <v>734.84215703870484</v>
      </c>
      <c r="O134" s="5">
        <v>712.96698689406639</v>
      </c>
      <c r="P134">
        <v>686.51440602161028</v>
      </c>
      <c r="Q134" s="5">
        <v>1006.367253079492</v>
      </c>
      <c r="R134" s="5">
        <v>818.94378662109375</v>
      </c>
      <c r="S134" s="5">
        <v>908.050537109375</v>
      </c>
      <c r="T134" s="5">
        <v>817.8076883618329</v>
      </c>
      <c r="U134" s="5">
        <v>691.5901462541824</v>
      </c>
      <c r="V134" s="5">
        <v>587.5798171960198</v>
      </c>
      <c r="W134" s="5">
        <v>614.04646306975474</v>
      </c>
      <c r="X134" s="5">
        <v>649.42931632593115</v>
      </c>
      <c r="Y134" s="5">
        <v>558.31228279092988</v>
      </c>
    </row>
    <row r="135" spans="1:25">
      <c r="A135">
        <v>219</v>
      </c>
      <c r="B135">
        <v>4.78</v>
      </c>
      <c r="C135">
        <v>350</v>
      </c>
      <c r="D135">
        <v>27.34046677982689</v>
      </c>
      <c r="E135">
        <v>2.968036529680365</v>
      </c>
      <c r="F135">
        <v>3400</v>
      </c>
      <c r="G135" s="35">
        <v>3309.8203636769372</v>
      </c>
      <c r="H135" s="5">
        <v>4134.965981594969</v>
      </c>
      <c r="I135" s="5">
        <v>4134.9658235113729</v>
      </c>
      <c r="J135" s="5">
        <v>4134.9836377637266</v>
      </c>
      <c r="K135" s="5">
        <v>3197.1538461538462</v>
      </c>
      <c r="L135" s="5">
        <v>3197.2041914581059</v>
      </c>
      <c r="M135" s="5">
        <v>3313.1554839124692</v>
      </c>
      <c r="N135" s="5">
        <v>3175.0898565753869</v>
      </c>
      <c r="O135" s="5">
        <v>3251.3238297576931</v>
      </c>
      <c r="P135">
        <v>3202.7033371833768</v>
      </c>
      <c r="Q135" s="5">
        <v>3081.269973520124</v>
      </c>
      <c r="R135" s="5">
        <v>3433.736083984375</v>
      </c>
      <c r="S135" s="5">
        <v>3089.303466796875</v>
      </c>
      <c r="T135" s="5">
        <v>2766.789278961759</v>
      </c>
      <c r="U135" s="5">
        <v>2765.9055081474471</v>
      </c>
      <c r="V135" s="5">
        <v>2437.2032194014714</v>
      </c>
      <c r="W135" s="5">
        <v>2411.1513891394156</v>
      </c>
      <c r="Y135" s="5">
        <v>2007.065719895817</v>
      </c>
    </row>
    <row r="136" spans="1:25">
      <c r="A136">
        <v>114.3</v>
      </c>
      <c r="B136">
        <v>6</v>
      </c>
      <c r="C136">
        <v>342.95</v>
      </c>
      <c r="D136">
        <v>58.68</v>
      </c>
      <c r="E136">
        <v>6.99912510936133</v>
      </c>
      <c r="F136">
        <v>1190</v>
      </c>
      <c r="G136" s="35">
        <v>1111.3352224948719</v>
      </c>
      <c r="H136" s="5">
        <v>1938.886765121365</v>
      </c>
      <c r="I136" s="5">
        <v>1938.886651891773</v>
      </c>
      <c r="J136" s="5">
        <v>1938.784129231741</v>
      </c>
      <c r="K136" s="5">
        <v>1600.181</v>
      </c>
      <c r="L136" s="5">
        <v>1206.7565694106081</v>
      </c>
      <c r="M136" s="5">
        <v>1296.778033980585</v>
      </c>
      <c r="N136" s="5">
        <v>1149.7116522302831</v>
      </c>
      <c r="O136" s="5">
        <v>1085.9733802570649</v>
      </c>
      <c r="P136">
        <v>1166.6892311369249</v>
      </c>
      <c r="Q136" s="5">
        <v>1473.8676218725659</v>
      </c>
      <c r="R136" s="5">
        <v>1211.678100585938</v>
      </c>
      <c r="S136" s="5">
        <v>1276.80517578125</v>
      </c>
      <c r="T136" s="5">
        <v>1329.6566071291491</v>
      </c>
      <c r="U136" s="5">
        <v>1616.4783465220635</v>
      </c>
      <c r="V136" s="5">
        <v>1427.519889470128</v>
      </c>
      <c r="W136" s="5">
        <v>1475.5481009933596</v>
      </c>
      <c r="Y136" s="5">
        <v>1112.232761517683</v>
      </c>
    </row>
    <row r="137" spans="1:25">
      <c r="A137">
        <v>219</v>
      </c>
      <c r="B137">
        <v>3.8</v>
      </c>
      <c r="C137">
        <v>325</v>
      </c>
      <c r="D137">
        <v>37.3623262668659</v>
      </c>
      <c r="E137">
        <v>4</v>
      </c>
      <c r="F137">
        <v>3073</v>
      </c>
      <c r="G137" s="35">
        <v>3079.355550692509</v>
      </c>
      <c r="H137" s="5">
        <v>4028.7075908608149</v>
      </c>
      <c r="I137" s="5">
        <v>4028.7072171513551</v>
      </c>
      <c r="J137" s="5">
        <v>4028.722502289042</v>
      </c>
      <c r="K137" s="5">
        <v>3222.3076923076919</v>
      </c>
      <c r="L137" s="5">
        <v>3014.66296868568</v>
      </c>
      <c r="M137" s="5">
        <v>3160.9437078465121</v>
      </c>
      <c r="N137" s="5">
        <v>2492.023917824471</v>
      </c>
      <c r="O137" s="5">
        <v>2609.413361667619</v>
      </c>
      <c r="P137">
        <v>2795.9715621508249</v>
      </c>
      <c r="Q137" s="5">
        <v>3084.872442567982</v>
      </c>
      <c r="R137" s="5">
        <v>3026.206787109375</v>
      </c>
      <c r="S137" s="5">
        <v>2593.52490234375</v>
      </c>
      <c r="T137" s="5">
        <v>2565.672070556609</v>
      </c>
      <c r="U137" s="5">
        <v>2664.0104294582811</v>
      </c>
      <c r="V137" s="5">
        <v>2298.5041489376213</v>
      </c>
      <c r="W137" s="5">
        <v>2184.9307659764936</v>
      </c>
      <c r="X137" s="5">
        <v>2421.470490258348</v>
      </c>
      <c r="Y137" s="5">
        <v>2051.7397283113278</v>
      </c>
    </row>
    <row r="138" spans="1:25">
      <c r="A138">
        <v>113.7</v>
      </c>
      <c r="B138">
        <v>2.06</v>
      </c>
      <c r="C138">
        <v>269.89999999999998</v>
      </c>
      <c r="D138">
        <v>113.2</v>
      </c>
      <c r="E138">
        <v>3.0079155672823221</v>
      </c>
      <c r="F138">
        <v>1491</v>
      </c>
      <c r="G138" s="35">
        <v>1381.315068721291</v>
      </c>
      <c r="H138" s="5">
        <v>1138.691275780257</v>
      </c>
      <c r="I138" s="5">
        <v>1138.691323731892</v>
      </c>
      <c r="J138" s="5">
        <v>1138.6885240721499</v>
      </c>
      <c r="K138" s="5">
        <v>1189.814166666667</v>
      </c>
      <c r="L138" s="5">
        <v>1231.5745942536751</v>
      </c>
      <c r="M138" s="5">
        <v>1300.0406877022631</v>
      </c>
      <c r="N138" s="5">
        <v>1326.7177205307651</v>
      </c>
      <c r="O138" s="5">
        <v>1307.1872460172019</v>
      </c>
      <c r="P138">
        <v>1303.4510762848431</v>
      </c>
      <c r="Q138" s="5">
        <v>1157.2881807935009</v>
      </c>
      <c r="R138" s="5">
        <v>1265.403198242188</v>
      </c>
      <c r="S138" s="5">
        <v>1313.091796875</v>
      </c>
      <c r="T138" s="5">
        <v>1367.4749873929163</v>
      </c>
      <c r="U138" s="5">
        <v>1348.3796004456503</v>
      </c>
      <c r="V138" s="5">
        <v>1145.8232161661101</v>
      </c>
    </row>
    <row r="139" spans="1:25">
      <c r="A139">
        <v>100</v>
      </c>
      <c r="B139">
        <v>3</v>
      </c>
      <c r="C139">
        <v>432.82</v>
      </c>
      <c r="D139">
        <v>93.51</v>
      </c>
      <c r="E139">
        <v>3</v>
      </c>
      <c r="F139">
        <v>1141.3</v>
      </c>
      <c r="G139" s="35">
        <v>1178.4577323683691</v>
      </c>
      <c r="H139" s="5">
        <v>1252.3188308314341</v>
      </c>
      <c r="I139" s="5">
        <v>1252.3189893043259</v>
      </c>
      <c r="J139" s="5">
        <v>1252.290063582305</v>
      </c>
      <c r="K139" s="5">
        <v>1148.1320000000001</v>
      </c>
      <c r="L139" s="5">
        <v>1028.8074312803089</v>
      </c>
      <c r="M139" s="5">
        <v>1098.8357605177989</v>
      </c>
      <c r="N139" s="5">
        <v>1202.797745706604</v>
      </c>
      <c r="O139" s="5">
        <v>1030.050982338958</v>
      </c>
      <c r="P139">
        <v>1193.1507510967281</v>
      </c>
      <c r="Q139" s="5">
        <v>933.60315168852173</v>
      </c>
      <c r="R139" s="5">
        <v>1118.083740234375</v>
      </c>
      <c r="S139" s="5">
        <v>1339.5216064453125</v>
      </c>
      <c r="T139" s="5">
        <v>1347.3680735353332</v>
      </c>
      <c r="U139" s="5">
        <v>1289.9492357046031</v>
      </c>
      <c r="V139" s="5">
        <v>1110.1068677398951</v>
      </c>
    </row>
    <row r="140" spans="1:25">
      <c r="A140">
        <v>100</v>
      </c>
      <c r="B140">
        <v>3</v>
      </c>
      <c r="C140">
        <v>426.3</v>
      </c>
      <c r="D140">
        <v>29.13</v>
      </c>
      <c r="E140">
        <v>6</v>
      </c>
      <c r="F140">
        <v>723</v>
      </c>
      <c r="G140" s="35">
        <v>1224.6211637648189</v>
      </c>
      <c r="H140" s="5">
        <v>401.49797966260547</v>
      </c>
      <c r="I140" s="5">
        <v>401.49799165396388</v>
      </c>
      <c r="J140" s="5">
        <v>401.4499727246066</v>
      </c>
      <c r="K140" s="5">
        <v>718.36666666666667</v>
      </c>
      <c r="L140" s="5">
        <v>724.3297346579468</v>
      </c>
      <c r="M140" s="5">
        <v>714.59706729812126</v>
      </c>
      <c r="N140" s="5">
        <v>854.25279945699435</v>
      </c>
      <c r="O140" s="5">
        <v>749.20777317087243</v>
      </c>
      <c r="P140">
        <v>714.32176836370138</v>
      </c>
      <c r="Q140" s="5">
        <v>849.84288362911445</v>
      </c>
      <c r="R140" s="5">
        <v>791.08367919921875</v>
      </c>
      <c r="S140" s="5">
        <v>894.334716796875</v>
      </c>
      <c r="T140" s="5">
        <v>806.55552105180482</v>
      </c>
      <c r="U140" s="5">
        <v>833.51013435633172</v>
      </c>
      <c r="V140" s="5">
        <v>743.77837312163354</v>
      </c>
      <c r="W140" s="5">
        <v>725.84701765131319</v>
      </c>
      <c r="X140" s="5">
        <v>632.67802758998482</v>
      </c>
      <c r="Y140" s="5">
        <v>564.39878771247538</v>
      </c>
    </row>
    <row r="141" spans="1:25">
      <c r="A141">
        <v>165</v>
      </c>
      <c r="B141">
        <v>2.82</v>
      </c>
      <c r="C141">
        <v>363.3</v>
      </c>
      <c r="D141">
        <v>108</v>
      </c>
      <c r="E141">
        <v>3.5</v>
      </c>
      <c r="F141">
        <v>2673</v>
      </c>
      <c r="G141" s="35">
        <v>2115.58226944736</v>
      </c>
      <c r="H141" s="5">
        <v>3280.2822983455189</v>
      </c>
      <c r="I141" s="5">
        <v>3280.2819680113362</v>
      </c>
      <c r="J141" s="5">
        <v>3280.237140872307</v>
      </c>
      <c r="K141" s="5">
        <v>3025.2857142857142</v>
      </c>
      <c r="L141" s="5">
        <v>2491.6719825284381</v>
      </c>
      <c r="M141" s="5">
        <v>2320.7023578363401</v>
      </c>
      <c r="N141" s="5">
        <v>2879.103421718949</v>
      </c>
      <c r="O141" s="5">
        <v>2529.2002361197569</v>
      </c>
      <c r="P141">
        <v>2785.4918369347351</v>
      </c>
      <c r="Q141" s="5">
        <v>2186.9156946802968</v>
      </c>
      <c r="R141" s="5">
        <v>2571.180419921875</v>
      </c>
      <c r="S141" s="5">
        <v>2758.5224609375</v>
      </c>
      <c r="T141" s="5">
        <v>2832.1143271152678</v>
      </c>
      <c r="U141" s="5">
        <v>2905.7965554395046</v>
      </c>
      <c r="V141" s="5">
        <v>2504.4229048953252</v>
      </c>
    </row>
    <row r="142" spans="1:25">
      <c r="A142">
        <v>820</v>
      </c>
      <c r="B142">
        <v>8.93</v>
      </c>
      <c r="C142">
        <v>331</v>
      </c>
      <c r="D142">
        <v>45</v>
      </c>
      <c r="E142">
        <v>3</v>
      </c>
      <c r="F142">
        <v>33600</v>
      </c>
      <c r="G142" s="35">
        <v>17924.17002533198</v>
      </c>
      <c r="H142" s="5">
        <v>24903.503981414298</v>
      </c>
      <c r="I142" s="5">
        <v>24903.50038230127</v>
      </c>
      <c r="J142" s="5">
        <v>24903.387668339768</v>
      </c>
      <c r="K142" s="5">
        <v>26153</v>
      </c>
      <c r="L142" s="5">
        <v>18738.606522435901</v>
      </c>
      <c r="M142" s="5">
        <v>26388.769417475731</v>
      </c>
      <c r="N142" s="5">
        <v>15998.66415123057</v>
      </c>
      <c r="O142" s="5">
        <v>21146.79739920389</v>
      </c>
      <c r="P142">
        <v>20113.520989544559</v>
      </c>
      <c r="Q142" s="5">
        <v>18000.000000000011</v>
      </c>
      <c r="R142" s="5">
        <v>20797.89453125</v>
      </c>
      <c r="S142" s="5">
        <v>34294.88671875</v>
      </c>
      <c r="T142" s="5">
        <v>32565.322164817604</v>
      </c>
      <c r="U142" s="5">
        <v>34941.846813391217</v>
      </c>
      <c r="V142" s="5">
        <v>29473.045185408042</v>
      </c>
      <c r="W142" s="5">
        <v>28349.417904052123</v>
      </c>
      <c r="Y142" s="5">
        <v>28830.896436445331</v>
      </c>
    </row>
    <row r="143" spans="1:25">
      <c r="A143">
        <v>219</v>
      </c>
      <c r="B143">
        <v>4.78</v>
      </c>
      <c r="C143">
        <v>350</v>
      </c>
      <c r="D143">
        <v>41.9</v>
      </c>
      <c r="E143">
        <v>2.968036529680365</v>
      </c>
      <c r="F143">
        <v>3400</v>
      </c>
      <c r="G143" s="35">
        <v>2932.4324324324311</v>
      </c>
      <c r="H143" s="5">
        <v>4417.2649430172032</v>
      </c>
      <c r="I143" s="5">
        <v>4417.2647091216922</v>
      </c>
      <c r="J143" s="5">
        <v>4417.2724892133974</v>
      </c>
      <c r="K143" s="5">
        <v>3066.454545454545</v>
      </c>
      <c r="L143" s="5">
        <v>2887.629375</v>
      </c>
      <c r="M143" s="5">
        <v>2716.5533980582518</v>
      </c>
      <c r="N143" s="5">
        <v>3134.404391299583</v>
      </c>
      <c r="O143" s="5">
        <v>3163.4274388381468</v>
      </c>
      <c r="P143">
        <v>3262.3070151289912</v>
      </c>
      <c r="Q143" s="5">
        <v>3089.434370976734</v>
      </c>
      <c r="R143" s="5">
        <v>3128.65625</v>
      </c>
      <c r="S143" s="5">
        <v>3236.42822265625</v>
      </c>
      <c r="T143" s="5">
        <v>3160.5238274512953</v>
      </c>
      <c r="U143" s="5">
        <v>3267.5044266751534</v>
      </c>
      <c r="V143" s="5">
        <v>2838.4823542236368</v>
      </c>
      <c r="W143" s="5">
        <v>2999.9686879084252</v>
      </c>
      <c r="X143" s="5">
        <v>3062.171638056951</v>
      </c>
      <c r="Y143" s="5">
        <v>2477.8080659206598</v>
      </c>
    </row>
    <row r="144" spans="1:25">
      <c r="A144">
        <v>108.6</v>
      </c>
      <c r="B144">
        <v>4.5999999999999996</v>
      </c>
      <c r="C144">
        <v>271.89999999999998</v>
      </c>
      <c r="D144">
        <v>30.7</v>
      </c>
      <c r="E144">
        <v>3.0018416206261511</v>
      </c>
      <c r="F144">
        <v>757</v>
      </c>
      <c r="G144" s="35">
        <v>1199.991546974283</v>
      </c>
      <c r="H144" s="5">
        <v>317.87722586355682</v>
      </c>
      <c r="I144" s="5">
        <v>317.87775787025521</v>
      </c>
      <c r="J144" s="5">
        <v>317.94030101964017</v>
      </c>
      <c r="K144" s="5">
        <v>1209.925</v>
      </c>
      <c r="L144" s="5">
        <v>1114.3605831641901</v>
      </c>
      <c r="M144" s="5">
        <v>1069.3258679031981</v>
      </c>
      <c r="N144" s="5">
        <v>1218.167269060795</v>
      </c>
      <c r="O144" s="5">
        <v>1168.574206737004</v>
      </c>
      <c r="P144">
        <v>1034.9914037338781</v>
      </c>
      <c r="Q144" s="5">
        <v>1243.5216795871891</v>
      </c>
      <c r="R144" s="5">
        <v>1337.327026367188</v>
      </c>
      <c r="S144" s="5">
        <v>1010.022216796875</v>
      </c>
      <c r="T144" s="5">
        <v>997.87021788914569</v>
      </c>
      <c r="U144" s="5">
        <v>900.24360108797759</v>
      </c>
      <c r="V144" s="5">
        <v>799.67713110619331</v>
      </c>
      <c r="W144" s="5">
        <v>815.64447375751342</v>
      </c>
      <c r="X144" s="5">
        <v>831.50379703197279</v>
      </c>
      <c r="Y144" s="5">
        <v>631.48146089263059</v>
      </c>
    </row>
    <row r="145" spans="1:25">
      <c r="A145">
        <v>114.3</v>
      </c>
      <c r="B145">
        <v>6</v>
      </c>
      <c r="C145">
        <v>342.95</v>
      </c>
      <c r="D145">
        <v>88.78</v>
      </c>
      <c r="E145">
        <v>6.99912510936133</v>
      </c>
      <c r="F145">
        <v>1400.6</v>
      </c>
      <c r="G145" s="35">
        <v>1523.99945734485</v>
      </c>
      <c r="H145" s="5">
        <v>2421.187604550355</v>
      </c>
      <c r="I145" s="5">
        <v>2421.1873761438769</v>
      </c>
      <c r="J145" s="5">
        <v>2421.0589488948808</v>
      </c>
      <c r="K145" s="5">
        <v>1492.422222222222</v>
      </c>
      <c r="L145" s="5">
        <v>1490.058927884613</v>
      </c>
      <c r="M145" s="5">
        <v>1486.4547572815541</v>
      </c>
      <c r="N145" s="5">
        <v>1463.6182203258129</v>
      </c>
      <c r="O145" s="5">
        <v>1494.7775455215999</v>
      </c>
      <c r="P145">
        <v>1610.015071450242</v>
      </c>
      <c r="Q145" s="5">
        <v>1606.649005178959</v>
      </c>
      <c r="R145" s="5">
        <v>1618.39892578125</v>
      </c>
      <c r="S145" s="5">
        <v>1403.02685546875</v>
      </c>
      <c r="T145" s="5">
        <v>1524.1399639019339</v>
      </c>
      <c r="U145" s="5">
        <v>1863.8828748392561</v>
      </c>
      <c r="V145" s="5">
        <v>1625.4435121238819</v>
      </c>
    </row>
    <row r="146" spans="1:25">
      <c r="A146">
        <v>558.1</v>
      </c>
      <c r="B146">
        <v>16.53</v>
      </c>
      <c r="C146">
        <v>546</v>
      </c>
      <c r="D146">
        <v>25.36</v>
      </c>
      <c r="E146">
        <v>1.7873141014155169</v>
      </c>
      <c r="F146">
        <v>29050</v>
      </c>
      <c r="G146" s="35">
        <v>28802.976390690132</v>
      </c>
      <c r="H146" s="5">
        <v>18523.055372146038</v>
      </c>
      <c r="I146" s="5">
        <v>18523.053718098039</v>
      </c>
      <c r="J146" s="5">
        <v>18522.918393650369</v>
      </c>
      <c r="K146" s="5">
        <v>24981</v>
      </c>
      <c r="L146" s="5">
        <v>28546.79849358974</v>
      </c>
      <c r="M146" s="5">
        <v>28830</v>
      </c>
      <c r="N146" s="5">
        <v>26302.150768646399</v>
      </c>
      <c r="O146" s="5">
        <v>28587.01629889409</v>
      </c>
      <c r="P146">
        <v>28586.218312025991</v>
      </c>
      <c r="Q146" s="5">
        <v>28830.000000000018</v>
      </c>
      <c r="R146" s="5">
        <v>28826.615234375</v>
      </c>
      <c r="S146" s="5">
        <v>28867.15234375</v>
      </c>
      <c r="T146" s="5">
        <v>28835.198349755537</v>
      </c>
      <c r="U146" s="5">
        <v>28831.334681440236</v>
      </c>
      <c r="V146" s="5">
        <v>27327.635098601058</v>
      </c>
      <c r="W146" s="5">
        <v>24067.149556702756</v>
      </c>
    </row>
    <row r="147" spans="1:25">
      <c r="A147">
        <v>210</v>
      </c>
      <c r="B147">
        <v>3</v>
      </c>
      <c r="C147">
        <v>233.2</v>
      </c>
      <c r="D147">
        <v>27.07</v>
      </c>
      <c r="E147">
        <v>4.9523809523809534</v>
      </c>
      <c r="F147">
        <v>1705</v>
      </c>
      <c r="G147" s="35">
        <v>1461.735992924426</v>
      </c>
      <c r="H147" s="5">
        <v>3114.436048016395</v>
      </c>
      <c r="I147" s="5">
        <v>3114.4356723907349</v>
      </c>
      <c r="J147" s="5">
        <v>3114.4632339784039</v>
      </c>
      <c r="K147" s="5">
        <v>1370.658317013515</v>
      </c>
      <c r="L147" s="5">
        <v>1571.2553025813429</v>
      </c>
      <c r="M147" s="5">
        <v>1586.7302503436549</v>
      </c>
      <c r="N147" s="5">
        <v>1607.6759434008891</v>
      </c>
      <c r="O147" s="5">
        <v>1438.060241761867</v>
      </c>
      <c r="P147">
        <v>1445.722243132431</v>
      </c>
      <c r="Q147" s="5">
        <v>1620.4229772301419</v>
      </c>
      <c r="R147" s="5">
        <v>1442.487182617188</v>
      </c>
      <c r="S147" s="5">
        <v>1712.5162353515625</v>
      </c>
      <c r="T147" s="5">
        <v>1490.1490190175832</v>
      </c>
      <c r="U147" s="5">
        <v>1621.8162438785369</v>
      </c>
      <c r="V147" s="5">
        <v>1388.9144225252301</v>
      </c>
      <c r="W147" s="5">
        <v>1349.0500510765128</v>
      </c>
      <c r="Y147" s="5">
        <v>1272.9078406532119</v>
      </c>
    </row>
    <row r="148" spans="1:25">
      <c r="A148">
        <v>450</v>
      </c>
      <c r="B148">
        <v>2.96</v>
      </c>
      <c r="C148">
        <v>279</v>
      </c>
      <c r="D148">
        <v>25.4</v>
      </c>
      <c r="E148">
        <v>3</v>
      </c>
      <c r="F148">
        <v>4415</v>
      </c>
      <c r="G148" s="35">
        <v>5410.0702141508509</v>
      </c>
      <c r="H148" s="5">
        <v>10769.48006524308</v>
      </c>
      <c r="I148" s="5">
        <v>10769.47847312267</v>
      </c>
      <c r="J148" s="5">
        <v>10769.47509022964</v>
      </c>
      <c r="K148" s="5">
        <v>6161.7605961421996</v>
      </c>
      <c r="L148" s="5">
        <v>9266.5275160256406</v>
      </c>
      <c r="M148" s="5">
        <v>5966.9708737864084</v>
      </c>
      <c r="N148" s="5">
        <v>5109.8466016117372</v>
      </c>
      <c r="O148" s="5">
        <v>5668.5650624495865</v>
      </c>
      <c r="P148">
        <v>5395.8578970903809</v>
      </c>
      <c r="Q148" s="5">
        <v>6430.100217973325</v>
      </c>
      <c r="R148" s="5">
        <v>4902.73779296875</v>
      </c>
      <c r="S148" s="5">
        <v>4528.2734375</v>
      </c>
      <c r="T148" s="5">
        <v>5060.2733500238264</v>
      </c>
      <c r="U148" s="5">
        <v>5813.0209490371326</v>
      </c>
      <c r="V148" s="5">
        <v>4885.4686056723767</v>
      </c>
      <c r="Y148" s="5">
        <v>3866.4850346886069</v>
      </c>
    </row>
    <row r="149" spans="1:25">
      <c r="A149">
        <v>100</v>
      </c>
      <c r="B149">
        <v>2</v>
      </c>
      <c r="C149">
        <v>236.2</v>
      </c>
      <c r="D149">
        <v>36.19</v>
      </c>
      <c r="E149">
        <v>3</v>
      </c>
      <c r="F149">
        <v>537</v>
      </c>
      <c r="G149" s="35">
        <v>545.73306330040487</v>
      </c>
      <c r="H149" s="5">
        <v>-760.54561369168778</v>
      </c>
      <c r="I149" s="5">
        <v>-760.54512807519359</v>
      </c>
      <c r="J149" s="5">
        <v>-760.46302682579062</v>
      </c>
      <c r="K149" s="5">
        <v>452.1</v>
      </c>
      <c r="L149" s="5">
        <v>540.9939225064237</v>
      </c>
      <c r="M149" s="5">
        <v>541.69388847398591</v>
      </c>
      <c r="N149" s="5">
        <v>545.98003259215022</v>
      </c>
      <c r="O149" s="5">
        <v>535.72860637097017</v>
      </c>
      <c r="P149">
        <v>551.69793339094053</v>
      </c>
      <c r="Q149" s="5">
        <v>533.24133207313514</v>
      </c>
      <c r="R149" s="5">
        <v>541.08673095703125</v>
      </c>
      <c r="S149" s="5">
        <v>542.572509765625</v>
      </c>
      <c r="T149" s="5">
        <v>635.2628159259009</v>
      </c>
      <c r="U149" s="5">
        <v>497.56539421006897</v>
      </c>
      <c r="V149" s="5">
        <v>427.1088004851116</v>
      </c>
      <c r="W149" s="5">
        <v>436.32340843082312</v>
      </c>
      <c r="X149" s="5">
        <v>476.39902429928549</v>
      </c>
      <c r="Y149" s="5">
        <v>391.70828602009709</v>
      </c>
    </row>
    <row r="150" spans="1:25">
      <c r="A150">
        <v>166</v>
      </c>
      <c r="B150">
        <v>5</v>
      </c>
      <c r="C150">
        <v>313.60000000000002</v>
      </c>
      <c r="D150">
        <v>42.24</v>
      </c>
      <c r="E150">
        <v>5.2409638554216871</v>
      </c>
      <c r="F150">
        <v>1827.7</v>
      </c>
      <c r="G150" s="35">
        <v>2128.6096266953291</v>
      </c>
      <c r="H150" s="5">
        <v>2787.1205714775251</v>
      </c>
      <c r="I150" s="5">
        <v>2787.1204122606509</v>
      </c>
      <c r="J150" s="5">
        <v>2787.0825138885511</v>
      </c>
      <c r="K150" s="5">
        <v>1735.2308288499221</v>
      </c>
      <c r="L150" s="5">
        <v>1905.1222285526119</v>
      </c>
      <c r="M150" s="5">
        <v>1850.240156943624</v>
      </c>
      <c r="N150" s="5">
        <v>1950.072101195092</v>
      </c>
      <c r="O150" s="5">
        <v>1954.3707603118851</v>
      </c>
      <c r="P150">
        <v>1838.263888176094</v>
      </c>
      <c r="Q150" s="5">
        <v>1770.4510396654341</v>
      </c>
      <c r="R150" s="5">
        <v>1804.160888671875</v>
      </c>
      <c r="S150" s="5">
        <v>1743.3094482421875</v>
      </c>
      <c r="T150" s="5">
        <v>1933.7749776604564</v>
      </c>
      <c r="U150" s="5">
        <v>2092.1559427013249</v>
      </c>
      <c r="V150" s="5">
        <v>1830.336534402551</v>
      </c>
      <c r="W150" s="5">
        <v>1956.0534267776568</v>
      </c>
      <c r="X150" s="5">
        <v>1751.8873297924331</v>
      </c>
      <c r="Y150" s="5">
        <v>1527.199960268247</v>
      </c>
    </row>
    <row r="151" spans="1:25">
      <c r="A151">
        <v>179</v>
      </c>
      <c r="B151">
        <v>5.5</v>
      </c>
      <c r="C151">
        <v>248.50051099999999</v>
      </c>
      <c r="D151">
        <v>43.639592499999999</v>
      </c>
      <c r="E151">
        <v>2.011173184357542</v>
      </c>
      <c r="F151">
        <v>2039.7832059568909</v>
      </c>
      <c r="G151" s="35">
        <v>1936.8452799702261</v>
      </c>
      <c r="H151" s="5">
        <v>3027.8923679776231</v>
      </c>
      <c r="I151" s="5">
        <v>3027.892544282503</v>
      </c>
      <c r="J151" s="5">
        <v>3027.938883776003</v>
      </c>
      <c r="K151" s="5">
        <v>1971.53597405193</v>
      </c>
      <c r="L151" s="5">
        <v>2030.0523600717031</v>
      </c>
      <c r="M151" s="5">
        <v>2060.8547189781102</v>
      </c>
      <c r="N151" s="5">
        <v>2232.8008099642689</v>
      </c>
      <c r="O151" s="5">
        <v>2144.1299652570692</v>
      </c>
      <c r="P151">
        <v>2337.5952656263771</v>
      </c>
      <c r="Q151" s="5">
        <v>2077.8151071559569</v>
      </c>
      <c r="R151" s="5">
        <v>2246.640380859375</v>
      </c>
      <c r="S151" s="5">
        <v>2171.76611328125</v>
      </c>
      <c r="T151" s="5">
        <v>2458.4411812447952</v>
      </c>
      <c r="U151" s="5">
        <v>2174.2151506021228</v>
      </c>
      <c r="V151" s="5">
        <v>1886.3759328797398</v>
      </c>
      <c r="W151" s="5">
        <v>2057.3437188574771</v>
      </c>
      <c r="X151" s="5">
        <v>2140.3140308077768</v>
      </c>
      <c r="Y151" s="5">
        <v>1659.2728554798471</v>
      </c>
    </row>
    <row r="152" spans="1:25">
      <c r="A152">
        <v>152.4</v>
      </c>
      <c r="B152">
        <v>1.55</v>
      </c>
      <c r="C152">
        <v>331</v>
      </c>
      <c r="D152">
        <v>12.77167005450281</v>
      </c>
      <c r="E152">
        <v>5.9973753280839892</v>
      </c>
      <c r="F152">
        <v>682.3</v>
      </c>
      <c r="G152" s="35">
        <v>758.04984046190714</v>
      </c>
      <c r="H152" s="5">
        <v>973.68363072573084</v>
      </c>
      <c r="I152" s="5">
        <v>973.68338852659463</v>
      </c>
      <c r="J152" s="5">
        <v>973.67126334509726</v>
      </c>
      <c r="K152" s="5">
        <v>755.24</v>
      </c>
      <c r="L152" s="5">
        <v>766.9523228902068</v>
      </c>
      <c r="M152" s="5">
        <v>734.30825242718447</v>
      </c>
      <c r="N152" s="5">
        <v>692.77496123231799</v>
      </c>
      <c r="O152" s="5">
        <v>704.2384676186407</v>
      </c>
      <c r="P152">
        <v>663.2900650932396</v>
      </c>
      <c r="Q152" s="5">
        <v>794.71668016094668</v>
      </c>
      <c r="R152" s="5">
        <v>691.857177734375</v>
      </c>
      <c r="S152" s="5">
        <v>723.7393798828125</v>
      </c>
      <c r="T152" s="5">
        <v>596.99988618732118</v>
      </c>
      <c r="U152" s="5">
        <v>617.47788645437163</v>
      </c>
      <c r="V152" s="5">
        <v>543.0747406696164</v>
      </c>
    </row>
    <row r="153" spans="1:25">
      <c r="A153">
        <v>114.3</v>
      </c>
      <c r="B153">
        <v>3.6</v>
      </c>
      <c r="C153">
        <v>403</v>
      </c>
      <c r="D153">
        <v>178.67400000000001</v>
      </c>
      <c r="E153">
        <v>2.1872265966754161</v>
      </c>
      <c r="F153">
        <v>2497</v>
      </c>
      <c r="G153" s="35">
        <v>2429.4960641520911</v>
      </c>
      <c r="H153" s="5">
        <v>3271.5419879923402</v>
      </c>
      <c r="I153" s="5">
        <v>3271.541871742455</v>
      </c>
      <c r="J153" s="5">
        <v>3271.4685180025681</v>
      </c>
      <c r="K153" s="5">
        <v>2176.58</v>
      </c>
      <c r="L153" s="5">
        <v>2314.9640164835182</v>
      </c>
      <c r="M153" s="5">
        <v>2381</v>
      </c>
      <c r="N153" s="5">
        <v>2326.389191580618</v>
      </c>
      <c r="O153" s="5">
        <v>2370.982140408692</v>
      </c>
      <c r="P153">
        <v>2514.2704449174548</v>
      </c>
      <c r="Q153" s="5">
        <v>2057.584992169217</v>
      </c>
      <c r="R153" s="5">
        <v>2380.869140625</v>
      </c>
      <c r="S153" s="5">
        <v>2456.540771484375</v>
      </c>
      <c r="T153" s="5">
        <v>2443.3528872227735</v>
      </c>
      <c r="U153" s="5">
        <v>2336.1986785909271</v>
      </c>
      <c r="V153" s="5">
        <v>2041.0847799410974</v>
      </c>
    </row>
    <row r="154" spans="1:25">
      <c r="A154">
        <v>108</v>
      </c>
      <c r="B154">
        <v>5.5</v>
      </c>
      <c r="C154">
        <v>383.1</v>
      </c>
      <c r="D154">
        <v>93.44</v>
      </c>
      <c r="E154">
        <v>3</v>
      </c>
      <c r="F154">
        <v>1944</v>
      </c>
      <c r="G154" s="35">
        <v>1934.5723390694709</v>
      </c>
      <c r="H154" s="5">
        <v>2057.1760439136592</v>
      </c>
      <c r="I154" s="5">
        <v>2057.176288607101</v>
      </c>
      <c r="J154" s="5">
        <v>2057.1417311865162</v>
      </c>
      <c r="K154" s="5">
        <v>2176.58</v>
      </c>
      <c r="L154" s="5">
        <v>1942.471934917045</v>
      </c>
      <c r="M154" s="5">
        <v>1933.934466019417</v>
      </c>
      <c r="N154" s="5">
        <v>1958.7317386429979</v>
      </c>
      <c r="O154" s="5">
        <v>1935.7883053056171</v>
      </c>
      <c r="P154">
        <v>1958.4683979453209</v>
      </c>
      <c r="Q154" s="5">
        <v>1903.899009350087</v>
      </c>
      <c r="R154" s="5">
        <v>1928.6005859375</v>
      </c>
      <c r="S154" s="5">
        <v>1922.9254150390625</v>
      </c>
      <c r="T154" s="5">
        <v>1887.573895348321</v>
      </c>
      <c r="U154" s="5">
        <v>1789.6707492492874</v>
      </c>
      <c r="V154" s="5">
        <v>1562.2099114548548</v>
      </c>
    </row>
    <row r="155" spans="1:25">
      <c r="A155">
        <v>150</v>
      </c>
      <c r="B155">
        <v>3</v>
      </c>
      <c r="C155">
        <v>324.39999999999998</v>
      </c>
      <c r="D155">
        <v>42.080000000000013</v>
      </c>
      <c r="E155">
        <v>6</v>
      </c>
      <c r="F155">
        <v>1489</v>
      </c>
      <c r="G155" s="35">
        <v>1291.491397261138</v>
      </c>
      <c r="H155" s="5">
        <v>1799.1207233548639</v>
      </c>
      <c r="I155" s="5">
        <v>1799.120477899889</v>
      </c>
      <c r="J155" s="5">
        <v>1799.0907478155179</v>
      </c>
      <c r="K155" s="5">
        <v>1095.333333333333</v>
      </c>
      <c r="L155" s="5">
        <v>1364.541029275475</v>
      </c>
      <c r="M155" s="5">
        <v>1427.6779611650479</v>
      </c>
      <c r="N155" s="5">
        <v>1306.044435718487</v>
      </c>
      <c r="O155" s="5">
        <v>1381.12868452967</v>
      </c>
      <c r="P155">
        <v>1324.851167369774</v>
      </c>
      <c r="Q155" s="5">
        <v>1270.7338965516351</v>
      </c>
      <c r="R155" s="5">
        <v>1360.635864257812</v>
      </c>
      <c r="S155" s="5">
        <v>1127.104736328125</v>
      </c>
      <c r="T155" s="5">
        <v>1276.1585571982</v>
      </c>
      <c r="U155" s="5">
        <v>1413.4043192746753</v>
      </c>
      <c r="V155" s="5">
        <v>1220.5131611222785</v>
      </c>
      <c r="W155" s="5">
        <v>1187.8120397657467</v>
      </c>
      <c r="X155" s="5">
        <v>1173.914948815848</v>
      </c>
      <c r="Y155" s="5">
        <v>1066.0692897678759</v>
      </c>
    </row>
    <row r="156" spans="1:25">
      <c r="A156">
        <v>174</v>
      </c>
      <c r="B156">
        <v>3</v>
      </c>
      <c r="C156">
        <v>265.95634799999999</v>
      </c>
      <c r="D156">
        <v>45.698988999999997</v>
      </c>
      <c r="E156">
        <v>2.068965517241379</v>
      </c>
      <c r="F156">
        <v>1608.2906046967801</v>
      </c>
      <c r="G156" s="35">
        <v>1352.6816999590831</v>
      </c>
      <c r="H156" s="5">
        <v>2226.097809211089</v>
      </c>
      <c r="I156" s="5">
        <v>2226.0979321160362</v>
      </c>
      <c r="J156" s="5">
        <v>2226.1623292411091</v>
      </c>
      <c r="K156" s="5">
        <v>1325.5666666666671</v>
      </c>
      <c r="L156" s="5">
        <v>2032.6899585828751</v>
      </c>
      <c r="M156" s="5">
        <v>1877.9640069843749</v>
      </c>
      <c r="N156" s="5">
        <v>1678.0773523846251</v>
      </c>
      <c r="O156" s="5">
        <v>1803.274024763366</v>
      </c>
      <c r="P156">
        <v>1765.965583050275</v>
      </c>
      <c r="Q156" s="5">
        <v>2064.8966808548189</v>
      </c>
      <c r="R156" s="5">
        <v>1694.104125976562</v>
      </c>
      <c r="S156" s="5">
        <v>1619.176513671875</v>
      </c>
      <c r="T156" s="5">
        <v>1699.436082568091</v>
      </c>
      <c r="U156" s="5">
        <v>1707.3857034998857</v>
      </c>
      <c r="V156" s="5">
        <v>1451.8011898600553</v>
      </c>
      <c r="W156" s="5">
        <v>1455.5481024802657</v>
      </c>
      <c r="X156" s="5">
        <v>1686.9850557218449</v>
      </c>
      <c r="Y156" s="5">
        <v>1385.654523449776</v>
      </c>
    </row>
    <row r="157" spans="1:25">
      <c r="A157">
        <v>125</v>
      </c>
      <c r="B157">
        <v>1</v>
      </c>
      <c r="C157">
        <v>232</v>
      </c>
      <c r="D157">
        <v>67.760000000000005</v>
      </c>
      <c r="E157">
        <v>3.504</v>
      </c>
      <c r="F157">
        <v>1275</v>
      </c>
      <c r="G157" s="35">
        <v>1239</v>
      </c>
      <c r="H157" s="5">
        <v>258.68389120739812</v>
      </c>
      <c r="I157" s="5">
        <v>258.68399756073308</v>
      </c>
      <c r="J157" s="5">
        <v>258.72343782698817</v>
      </c>
      <c r="K157" s="5">
        <v>1246.384615384615</v>
      </c>
      <c r="L157" s="5">
        <v>1298.74274075924</v>
      </c>
      <c r="M157" s="5">
        <v>1239.1015758028379</v>
      </c>
      <c r="N157" s="5">
        <v>1224.5837834587669</v>
      </c>
      <c r="O157" s="5">
        <v>1239.8877411732201</v>
      </c>
      <c r="P157">
        <v>1223.1514537362859</v>
      </c>
      <c r="Q157" s="5">
        <v>1304.059603154411</v>
      </c>
      <c r="R157" s="5">
        <v>1240.278442382812</v>
      </c>
      <c r="S157" s="5">
        <v>1222.8382568359375</v>
      </c>
      <c r="T157" s="5">
        <v>1136.2284156988055</v>
      </c>
      <c r="U157" s="5">
        <v>951.5551767220735</v>
      </c>
      <c r="V157" s="5">
        <v>779.53345256036653</v>
      </c>
      <c r="Y157" s="5">
        <v>840.01457965348663</v>
      </c>
    </row>
    <row r="158" spans="1:25">
      <c r="A158">
        <v>355.6</v>
      </c>
      <c r="B158">
        <v>4.72</v>
      </c>
      <c r="C158">
        <v>281</v>
      </c>
      <c r="D158">
        <v>21.3</v>
      </c>
      <c r="E158">
        <v>5.2868391451068613</v>
      </c>
      <c r="F158">
        <v>3517</v>
      </c>
      <c r="G158" s="35">
        <v>3884.9021502155492</v>
      </c>
      <c r="H158" s="5">
        <v>8245.8866688514827</v>
      </c>
      <c r="I158" s="5">
        <v>8245.8854776589833</v>
      </c>
      <c r="J158" s="5">
        <v>8245.9021973842755</v>
      </c>
      <c r="K158" s="5">
        <v>6042.5787779603816</v>
      </c>
      <c r="L158" s="5">
        <v>5779.014962825122</v>
      </c>
      <c r="M158" s="5">
        <v>5440.2115372353574</v>
      </c>
      <c r="N158" s="5">
        <v>5100.2908255188859</v>
      </c>
      <c r="O158" s="5">
        <v>4678.2636543189701</v>
      </c>
      <c r="P158">
        <v>4578.1918682196701</v>
      </c>
      <c r="Q158" s="5">
        <v>5632.9999999999955</v>
      </c>
      <c r="R158" s="5">
        <v>4519.40576171875</v>
      </c>
      <c r="S158" s="5">
        <v>3187.8193359375</v>
      </c>
      <c r="T158" s="5">
        <v>3843.9733369493856</v>
      </c>
      <c r="U158" s="5">
        <v>4373.0707795493026</v>
      </c>
      <c r="V158" s="5">
        <v>3792.6919049403127</v>
      </c>
      <c r="W158" s="5">
        <v>3472.562427862541</v>
      </c>
      <c r="Y158" s="5">
        <v>3299.9085567353309</v>
      </c>
    </row>
    <row r="159" spans="1:25">
      <c r="A159">
        <v>320</v>
      </c>
      <c r="B159">
        <v>7</v>
      </c>
      <c r="C159">
        <v>249.9</v>
      </c>
      <c r="D159">
        <v>30.652345458641939</v>
      </c>
      <c r="E159">
        <v>1.375</v>
      </c>
      <c r="F159">
        <v>5904</v>
      </c>
      <c r="G159" s="35">
        <v>6655.4090778812097</v>
      </c>
      <c r="H159" s="5">
        <v>7531.9816770958896</v>
      </c>
      <c r="I159" s="5">
        <v>7531.9812915455659</v>
      </c>
      <c r="J159" s="5">
        <v>7532.0243667000796</v>
      </c>
      <c r="K159" s="5">
        <v>7873.8515052331086</v>
      </c>
      <c r="L159" s="5">
        <v>6131.0724831811767</v>
      </c>
      <c r="M159" s="5">
        <v>6466.5849766317378</v>
      </c>
      <c r="N159" s="5">
        <v>7486.40420742282</v>
      </c>
      <c r="O159" s="5">
        <v>6001.344932713394</v>
      </c>
      <c r="P159">
        <v>6074.2485699862209</v>
      </c>
      <c r="Q159" s="5">
        <v>6947.6468889147418</v>
      </c>
      <c r="R159" s="5">
        <v>6017.44091796875</v>
      </c>
      <c r="S159" s="5">
        <v>6852.65625</v>
      </c>
      <c r="T159" s="5">
        <v>5967.5461435394009</v>
      </c>
      <c r="U159" s="5">
        <v>5040.8136300073775</v>
      </c>
      <c r="V159" s="5">
        <v>4375.5799815541623</v>
      </c>
      <c r="W159" s="5">
        <v>4538.0143910314182</v>
      </c>
      <c r="X159" s="5">
        <v>5163.7351794854358</v>
      </c>
      <c r="Y159" s="5">
        <v>3856.6916046254842</v>
      </c>
    </row>
    <row r="160" spans="1:25">
      <c r="A160">
        <v>166</v>
      </c>
      <c r="B160">
        <v>5</v>
      </c>
      <c r="C160">
        <v>274.60000000000002</v>
      </c>
      <c r="D160">
        <v>18.720078217418219</v>
      </c>
      <c r="E160">
        <v>6.6265060240963853</v>
      </c>
      <c r="F160">
        <v>1986</v>
      </c>
      <c r="G160" s="35">
        <v>1847.7191582862849</v>
      </c>
      <c r="H160" s="5">
        <v>2435.532431764635</v>
      </c>
      <c r="I160" s="5">
        <v>2435.532210250637</v>
      </c>
      <c r="J160" s="5">
        <v>2435.4848401606878</v>
      </c>
      <c r="K160" s="5">
        <v>1669.83523297134</v>
      </c>
      <c r="L160" s="5">
        <v>1755.9868225350619</v>
      </c>
      <c r="M160" s="5">
        <v>1891.4109726346071</v>
      </c>
      <c r="N160" s="5">
        <v>1669.2961310676981</v>
      </c>
      <c r="O160" s="5">
        <v>1798.3520462470869</v>
      </c>
      <c r="P160">
        <v>1781.5936731863369</v>
      </c>
      <c r="Q160" s="5">
        <v>1739.4965833661211</v>
      </c>
      <c r="R160" s="5">
        <v>1694.197021484375</v>
      </c>
      <c r="S160" s="5">
        <v>1433.8939208984375</v>
      </c>
      <c r="T160" s="5">
        <v>1377.1078476332752</v>
      </c>
      <c r="U160" s="5">
        <v>1482.8280124552666</v>
      </c>
      <c r="V160" s="5">
        <v>1323.3975976374068</v>
      </c>
      <c r="W160" s="5">
        <v>1267.3536181476302</v>
      </c>
    </row>
    <row r="161" spans="1:25">
      <c r="A161">
        <v>108</v>
      </c>
      <c r="B161">
        <v>3.5</v>
      </c>
      <c r="C161">
        <v>420.5</v>
      </c>
      <c r="D161">
        <v>87.04</v>
      </c>
      <c r="E161">
        <v>3</v>
      </c>
      <c r="F161">
        <v>1720</v>
      </c>
      <c r="G161" s="35">
        <v>1386.43669858218</v>
      </c>
      <c r="H161" s="5">
        <v>1497.141018849484</v>
      </c>
      <c r="I161" s="5">
        <v>1497.1411474377369</v>
      </c>
      <c r="J161" s="5">
        <v>1497.1188918969201</v>
      </c>
      <c r="K161" s="5">
        <v>1887.4444444444439</v>
      </c>
      <c r="L161" s="5">
        <v>1711.5346751630179</v>
      </c>
      <c r="M161" s="5">
        <v>1659.119902912621</v>
      </c>
      <c r="N161" s="5">
        <v>1818.349814269882</v>
      </c>
      <c r="O161" s="5">
        <v>1741.677964767397</v>
      </c>
      <c r="P161">
        <v>1607.5295489891589</v>
      </c>
      <c r="Q161" s="5">
        <v>1916.0684349876519</v>
      </c>
      <c r="R161" s="5">
        <v>1706.40380859375</v>
      </c>
      <c r="S161" s="5">
        <v>1569.1781005859375</v>
      </c>
      <c r="T161" s="5">
        <v>1524.6262222336643</v>
      </c>
      <c r="U161" s="5">
        <v>1480.0869779708125</v>
      </c>
      <c r="V161" s="5">
        <v>1279.220557150551</v>
      </c>
    </row>
    <row r="162" spans="1:25">
      <c r="A162">
        <v>133</v>
      </c>
      <c r="B162">
        <v>4.5</v>
      </c>
      <c r="C162">
        <v>325</v>
      </c>
      <c r="D162">
        <v>33.760000000000012</v>
      </c>
      <c r="E162">
        <v>3.496240601503759</v>
      </c>
      <c r="F162">
        <v>800</v>
      </c>
      <c r="G162" s="35">
        <v>1321.858779442445</v>
      </c>
      <c r="H162" s="5">
        <v>1390.426016771054</v>
      </c>
      <c r="I162" s="5">
        <v>1390.4262673302101</v>
      </c>
      <c r="J162" s="5">
        <v>1390.4446855378551</v>
      </c>
      <c r="K162" s="5">
        <v>1529.545454545455</v>
      </c>
      <c r="L162" s="5">
        <v>1451.0578627849329</v>
      </c>
      <c r="M162" s="5">
        <v>1486.249164948817</v>
      </c>
      <c r="N162" s="5">
        <v>1347.150541697559</v>
      </c>
      <c r="O162" s="5">
        <v>1459.2534183891471</v>
      </c>
      <c r="P162">
        <v>1403.8236143685499</v>
      </c>
      <c r="Q162" s="5">
        <v>1350.2821294535661</v>
      </c>
      <c r="R162" s="5">
        <v>1485.078857421875</v>
      </c>
      <c r="S162" s="5">
        <v>1585.7034912109375</v>
      </c>
      <c r="T162" s="5">
        <v>1434.8097059349182</v>
      </c>
      <c r="U162" s="5">
        <v>1364.14884943059</v>
      </c>
      <c r="V162" s="5">
        <v>1207.3864942272919</v>
      </c>
      <c r="W162" s="5">
        <v>1239.6058370324354</v>
      </c>
      <c r="X162" s="5">
        <v>1226.600925828239</v>
      </c>
      <c r="Y162" s="5">
        <v>969.13932656775114</v>
      </c>
    </row>
    <row r="163" spans="1:25">
      <c r="A163">
        <v>100</v>
      </c>
      <c r="B163">
        <v>3</v>
      </c>
      <c r="C163">
        <v>303.5</v>
      </c>
      <c r="D163">
        <v>46.8</v>
      </c>
      <c r="E163">
        <v>3</v>
      </c>
      <c r="F163">
        <v>814</v>
      </c>
      <c r="G163" s="35">
        <v>788.66666666666663</v>
      </c>
      <c r="H163" s="5">
        <v>-50.368015693784862</v>
      </c>
      <c r="I163" s="5">
        <v>-50.367591642791922</v>
      </c>
      <c r="J163" s="5">
        <v>-50.315528059492408</v>
      </c>
      <c r="K163" s="5">
        <v>804.39</v>
      </c>
      <c r="L163" s="5">
        <v>790.87371845359178</v>
      </c>
      <c r="M163" s="5">
        <v>788.6314019583433</v>
      </c>
      <c r="N163" s="5">
        <v>796.84305022446938</v>
      </c>
      <c r="O163" s="5">
        <v>814.16492232671283</v>
      </c>
      <c r="P163">
        <v>793.29206848382933</v>
      </c>
      <c r="Q163" s="5">
        <v>789.59672685066766</v>
      </c>
      <c r="R163" s="5">
        <v>788.8623046875</v>
      </c>
      <c r="S163" s="5">
        <v>747.6746826171875</v>
      </c>
      <c r="T163" s="5">
        <v>881.35877242234869</v>
      </c>
      <c r="U163" s="5">
        <v>774.26803469653078</v>
      </c>
      <c r="V163" s="5">
        <v>674.21263470232986</v>
      </c>
      <c r="W163" s="5">
        <v>753.02178107444774</v>
      </c>
      <c r="X163" s="5">
        <v>722.31052085579768</v>
      </c>
      <c r="Y163" s="5">
        <v>581.8404887493233</v>
      </c>
    </row>
    <row r="164" spans="1:25">
      <c r="A164">
        <v>47.28</v>
      </c>
      <c r="B164">
        <v>1.87</v>
      </c>
      <c r="C164">
        <v>360</v>
      </c>
      <c r="D164">
        <v>20.451412656051279</v>
      </c>
      <c r="E164">
        <v>7.1912013536379016</v>
      </c>
      <c r="F164">
        <v>168</v>
      </c>
      <c r="G164" s="35">
        <v>213.57013444673851</v>
      </c>
      <c r="H164" s="5">
        <v>-1931.8993222528679</v>
      </c>
      <c r="I164" s="5">
        <v>-1931.899112809728</v>
      </c>
      <c r="J164" s="5">
        <v>-1931.949533409756</v>
      </c>
      <c r="K164" s="5">
        <v>193.6</v>
      </c>
      <c r="L164" s="5">
        <v>197.4445112179487</v>
      </c>
      <c r="M164" s="5">
        <v>214.11812297734619</v>
      </c>
      <c r="N164" s="5">
        <v>192.9868101368013</v>
      </c>
      <c r="O164" s="5">
        <v>194.30382933247429</v>
      </c>
      <c r="P164">
        <v>191.77848521273691</v>
      </c>
      <c r="Q164" s="5">
        <v>184.95612814046319</v>
      </c>
      <c r="R164" s="5">
        <v>213.9195861816406</v>
      </c>
      <c r="S164" s="5">
        <v>153.96852111816406</v>
      </c>
      <c r="T164" s="5">
        <v>143.2316520757563</v>
      </c>
      <c r="U164" s="5">
        <v>186.03260319407124</v>
      </c>
      <c r="V164" s="5">
        <v>167.57270336328077</v>
      </c>
      <c r="W164" s="5">
        <v>153.52946350752131</v>
      </c>
    </row>
    <row r="165" spans="1:25">
      <c r="A165">
        <v>114.9</v>
      </c>
      <c r="B165">
        <v>3.93</v>
      </c>
      <c r="C165">
        <v>304.3</v>
      </c>
      <c r="D165">
        <v>59</v>
      </c>
      <c r="E165">
        <v>2.976501305483028</v>
      </c>
      <c r="F165">
        <v>1163</v>
      </c>
      <c r="G165" s="35">
        <v>1492.500161745171</v>
      </c>
      <c r="H165" s="5">
        <v>1032.08028574174</v>
      </c>
      <c r="I165" s="5">
        <v>1032.080579332031</v>
      </c>
      <c r="J165" s="5">
        <v>1032.0929559711749</v>
      </c>
      <c r="K165" s="5">
        <v>1105</v>
      </c>
      <c r="L165" s="5">
        <v>1164.4984758211931</v>
      </c>
      <c r="M165" s="5">
        <v>1151.41429832923</v>
      </c>
      <c r="N165" s="5">
        <v>1109.1918047500369</v>
      </c>
      <c r="O165" s="5">
        <v>1126.9432561218709</v>
      </c>
      <c r="P165">
        <v>1272.907845178215</v>
      </c>
      <c r="Q165" s="5">
        <v>1240.816673025003</v>
      </c>
      <c r="R165" s="5">
        <v>1175.6015625</v>
      </c>
      <c r="S165" s="5">
        <v>1182.9736328125</v>
      </c>
      <c r="T165" s="5">
        <v>1287.1040581597456</v>
      </c>
      <c r="U165" s="5">
        <v>1206.3322182424695</v>
      </c>
      <c r="V165" s="5">
        <v>1046.990664351023</v>
      </c>
      <c r="W165" s="5">
        <v>1164.3922178360126</v>
      </c>
      <c r="Y165" s="5">
        <v>914.52310927429392</v>
      </c>
    </row>
    <row r="166" spans="1:25">
      <c r="A166">
        <v>76.428599999999989</v>
      </c>
      <c r="B166">
        <v>1.7018</v>
      </c>
      <c r="C166">
        <v>363.28476108320001</v>
      </c>
      <c r="D166">
        <v>25.924287372799999</v>
      </c>
      <c r="E166">
        <v>1.9936856098371549</v>
      </c>
      <c r="F166">
        <v>372.31614791999999</v>
      </c>
      <c r="G166" s="35">
        <v>527.62204897742777</v>
      </c>
      <c r="H166" s="5">
        <v>-1352.693256505539</v>
      </c>
      <c r="I166" s="5">
        <v>-1352.6925824123809</v>
      </c>
      <c r="J166" s="5">
        <v>-1352.5938766401321</v>
      </c>
      <c r="K166" s="5">
        <v>401.10912503200001</v>
      </c>
      <c r="L166" s="5">
        <v>449.93519209444088</v>
      </c>
      <c r="M166" s="5">
        <v>432.78156583533911</v>
      </c>
      <c r="N166" s="5">
        <v>407.49097868847088</v>
      </c>
      <c r="O166" s="5">
        <v>420.09863699612271</v>
      </c>
      <c r="P166">
        <v>395.5608022009614</v>
      </c>
      <c r="Q166" s="5">
        <v>468.47473935272092</v>
      </c>
      <c r="R166" s="5">
        <v>406.07675170898438</v>
      </c>
      <c r="S166" s="5">
        <v>381.1365966796875</v>
      </c>
      <c r="T166" s="5">
        <v>431.39409883897389</v>
      </c>
      <c r="U166" s="5">
        <v>343.70150627773921</v>
      </c>
      <c r="V166" s="5">
        <v>303.88371870950738</v>
      </c>
      <c r="W166" s="5">
        <v>306.78352419603129</v>
      </c>
      <c r="Y166" s="5">
        <v>247.52515302443049</v>
      </c>
    </row>
    <row r="167" spans="1:25">
      <c r="A167">
        <v>204</v>
      </c>
      <c r="B167">
        <v>2</v>
      </c>
      <c r="C167">
        <v>235.4</v>
      </c>
      <c r="D167">
        <v>5.5128682690307906</v>
      </c>
      <c r="E167">
        <v>4.3137254901960782</v>
      </c>
      <c r="F167">
        <v>1040</v>
      </c>
      <c r="G167" s="35">
        <v>1069</v>
      </c>
      <c r="H167" s="5">
        <v>2190.0175797063612</v>
      </c>
      <c r="I167" s="5">
        <v>2190.0174145408218</v>
      </c>
      <c r="J167" s="5">
        <v>2190.0616931951849</v>
      </c>
      <c r="K167" s="5">
        <v>1509.3215457818419</v>
      </c>
      <c r="L167" s="5">
        <v>1138.17544232725</v>
      </c>
      <c r="M167" s="5">
        <v>1069</v>
      </c>
      <c r="N167" s="5">
        <v>1129.1943752416889</v>
      </c>
      <c r="O167" s="5">
        <v>1079.602500594521</v>
      </c>
      <c r="P167">
        <v>1056.5011566638209</v>
      </c>
      <c r="Q167" s="5">
        <v>1118.402302702096</v>
      </c>
      <c r="R167" s="5">
        <v>1070.81494140625</v>
      </c>
      <c r="S167" s="5">
        <v>1072.8828125</v>
      </c>
      <c r="T167" s="5">
        <v>913.87105144500424</v>
      </c>
      <c r="U167" s="5">
        <v>657.20005494746295</v>
      </c>
      <c r="V167" s="5">
        <v>586.1081355004286</v>
      </c>
    </row>
    <row r="168" spans="1:25">
      <c r="A168">
        <v>57.15</v>
      </c>
      <c r="B168">
        <v>2</v>
      </c>
      <c r="C168">
        <v>250</v>
      </c>
      <c r="D168">
        <v>33.92</v>
      </c>
      <c r="E168">
        <v>6.1242344706911638</v>
      </c>
      <c r="F168">
        <v>153.62</v>
      </c>
      <c r="G168" s="35">
        <v>146.39604663856031</v>
      </c>
      <c r="H168" s="5">
        <v>-1849.1501486705311</v>
      </c>
      <c r="I168" s="5">
        <v>-1849.1498134310871</v>
      </c>
      <c r="J168" s="5">
        <v>-1849.145114526299</v>
      </c>
      <c r="K168" s="5">
        <v>280.54124999999999</v>
      </c>
      <c r="L168" s="5">
        <v>178.4038259615381</v>
      </c>
      <c r="M168" s="5">
        <v>159.51951456310701</v>
      </c>
      <c r="N168" s="5">
        <v>168.93490870673199</v>
      </c>
      <c r="O168" s="5">
        <v>147.238268370453</v>
      </c>
      <c r="P168">
        <v>152.5285197740312</v>
      </c>
      <c r="Q168" s="5">
        <v>181.34</v>
      </c>
      <c r="R168" s="5">
        <v>148.30535888671881</v>
      </c>
      <c r="S168" s="5">
        <v>107.06409454345703</v>
      </c>
      <c r="T168" s="5">
        <v>230.96250129926347</v>
      </c>
      <c r="U168" s="5">
        <v>215.59758517954168</v>
      </c>
      <c r="V168" s="5">
        <v>189.48437775396994</v>
      </c>
      <c r="W168" s="5">
        <v>204.23010804296092</v>
      </c>
      <c r="X168" s="5">
        <v>176.04752671754909</v>
      </c>
      <c r="Y168" s="5">
        <v>154.51294963073281</v>
      </c>
    </row>
    <row r="169" spans="1:25">
      <c r="A169">
        <v>114.3</v>
      </c>
      <c r="B169">
        <v>3.1</v>
      </c>
      <c r="C169">
        <v>348</v>
      </c>
      <c r="D169">
        <v>42.361163440033167</v>
      </c>
      <c r="E169">
        <v>5.8617672790901141</v>
      </c>
      <c r="F169">
        <v>898</v>
      </c>
      <c r="G169" s="35">
        <v>904</v>
      </c>
      <c r="H169" s="5">
        <v>822.17836186451564</v>
      </c>
      <c r="I169" s="5">
        <v>822.17829550115198</v>
      </c>
      <c r="J169" s="5">
        <v>822.13835357557059</v>
      </c>
      <c r="K169" s="5">
        <v>877.17363636363632</v>
      </c>
      <c r="L169" s="5">
        <v>912.81815476346731</v>
      </c>
      <c r="M169" s="5">
        <v>908.22596646072361</v>
      </c>
      <c r="N169" s="5">
        <v>898.95973764594805</v>
      </c>
      <c r="O169" s="5">
        <v>923.5594334796499</v>
      </c>
      <c r="P169">
        <v>922.3778723885589</v>
      </c>
      <c r="Q169" s="5">
        <v>1026.414042810321</v>
      </c>
      <c r="R169" s="5">
        <v>905.449951171875</v>
      </c>
      <c r="S169" s="5">
        <v>989.9969482421875</v>
      </c>
      <c r="T169" s="5">
        <v>948.99964705498428</v>
      </c>
      <c r="U169" s="5">
        <v>999.31975029187743</v>
      </c>
      <c r="V169" s="5">
        <v>874.14040658725196</v>
      </c>
      <c r="W169" s="5">
        <v>948.67940436717311</v>
      </c>
      <c r="X169" s="5">
        <v>807.24013081453677</v>
      </c>
      <c r="Y169" s="5">
        <v>724.99136625127096</v>
      </c>
    </row>
    <row r="170" spans="1:25">
      <c r="A170">
        <v>47.28</v>
      </c>
      <c r="B170">
        <v>1.87</v>
      </c>
      <c r="C170">
        <v>360</v>
      </c>
      <c r="D170">
        <v>23.338477713828741</v>
      </c>
      <c r="E170">
        <v>7.1912013536379016</v>
      </c>
      <c r="F170">
        <v>210</v>
      </c>
      <c r="G170" s="35">
        <v>166</v>
      </c>
      <c r="H170" s="5">
        <v>-1885.50891656674</v>
      </c>
      <c r="I170" s="5">
        <v>-1885.508715677528</v>
      </c>
      <c r="J170" s="5">
        <v>-1885.5609296355581</v>
      </c>
      <c r="K170" s="5">
        <v>193.6</v>
      </c>
      <c r="L170" s="5">
        <v>177.15268429487179</v>
      </c>
      <c r="M170" s="5">
        <v>166.23381877022649</v>
      </c>
      <c r="N170" s="5">
        <v>186.19617932185881</v>
      </c>
      <c r="O170" s="5">
        <v>179.5022876451477</v>
      </c>
      <c r="P170">
        <v>181.57584498442989</v>
      </c>
      <c r="Q170" s="5">
        <v>180.96949992966941</v>
      </c>
      <c r="R170" s="5">
        <v>167.05607604980469</v>
      </c>
      <c r="S170" s="5">
        <v>175.17286682128906</v>
      </c>
      <c r="T170" s="5">
        <v>148.99740427244842</v>
      </c>
      <c r="U170" s="5">
        <v>190.33116624445387</v>
      </c>
      <c r="V170" s="5">
        <v>171.01155380358688</v>
      </c>
      <c r="W170" s="5">
        <v>160.30398760310797</v>
      </c>
      <c r="Y170" s="5">
        <v>124.43700633580561</v>
      </c>
    </row>
    <row r="171" spans="1:25">
      <c r="A171">
        <v>166</v>
      </c>
      <c r="B171">
        <v>5</v>
      </c>
      <c r="C171">
        <v>274.39999999999998</v>
      </c>
      <c r="D171">
        <v>29.62</v>
      </c>
      <c r="E171">
        <v>3.975903614457831</v>
      </c>
      <c r="F171">
        <v>2107</v>
      </c>
      <c r="G171" s="35">
        <v>1819.666666666667</v>
      </c>
      <c r="H171" s="5">
        <v>2337.680014211986</v>
      </c>
      <c r="I171" s="5">
        <v>2337.6801029606681</v>
      </c>
      <c r="J171" s="5">
        <v>2337.6978909454151</v>
      </c>
      <c r="K171" s="5">
        <v>1863.33909166888</v>
      </c>
      <c r="L171" s="5">
        <v>1842.4192826824731</v>
      </c>
      <c r="M171" s="5">
        <v>1836.0504582161041</v>
      </c>
      <c r="N171" s="5">
        <v>1884.8362741988769</v>
      </c>
      <c r="O171" s="5">
        <v>1879.7624909385249</v>
      </c>
      <c r="P171">
        <v>1883.418301821554</v>
      </c>
      <c r="Q171" s="5">
        <v>1768.286898642504</v>
      </c>
      <c r="R171" s="5">
        <v>1832.7724609375</v>
      </c>
      <c r="S171" s="5">
        <v>1877.2431640625</v>
      </c>
      <c r="T171" s="5">
        <v>1814.8103786117317</v>
      </c>
      <c r="U171" s="5">
        <v>1690.3437290330673</v>
      </c>
      <c r="V171" s="5">
        <v>1489.3102909377585</v>
      </c>
      <c r="W171" s="5">
        <v>1541.9718731273672</v>
      </c>
      <c r="X171" s="5">
        <v>1514.976847697214</v>
      </c>
      <c r="Y171" s="5">
        <v>1219.312908405215</v>
      </c>
    </row>
    <row r="172" spans="1:25">
      <c r="A172">
        <v>100</v>
      </c>
      <c r="B172">
        <v>1.2</v>
      </c>
      <c r="C172">
        <v>253.3</v>
      </c>
      <c r="D172">
        <v>19.224</v>
      </c>
      <c r="E172">
        <v>4.2</v>
      </c>
      <c r="F172">
        <v>343</v>
      </c>
      <c r="G172" s="35">
        <v>467.59615128122192</v>
      </c>
      <c r="H172" s="5">
        <v>-977.82721273605921</v>
      </c>
      <c r="I172" s="5">
        <v>-977.82690816784771</v>
      </c>
      <c r="J172" s="5">
        <v>-977.77009107210097</v>
      </c>
      <c r="K172" s="5">
        <v>349.85</v>
      </c>
      <c r="L172" s="5">
        <v>390.16379479646139</v>
      </c>
      <c r="M172" s="5">
        <v>386.97177472579563</v>
      </c>
      <c r="N172" s="5">
        <v>314.16459619602449</v>
      </c>
      <c r="O172" s="5">
        <v>333.44579968264537</v>
      </c>
      <c r="P172">
        <v>294.97885417554852</v>
      </c>
      <c r="Q172" s="5">
        <v>391.87172776267232</v>
      </c>
      <c r="R172" s="5">
        <v>287.84512329101563</v>
      </c>
      <c r="S172" s="5">
        <v>413.002197265625</v>
      </c>
      <c r="T172" s="5">
        <v>341.61760722842502</v>
      </c>
      <c r="U172" s="5">
        <v>296.66506891173304</v>
      </c>
      <c r="V172" s="5">
        <v>256.34494128255051</v>
      </c>
      <c r="W172" s="5">
        <v>257.12565508871188</v>
      </c>
    </row>
    <row r="173" spans="1:25">
      <c r="A173">
        <v>89.32</v>
      </c>
      <c r="B173">
        <v>2.74</v>
      </c>
      <c r="C173">
        <v>360</v>
      </c>
      <c r="D173">
        <v>24.112171481524499</v>
      </c>
      <c r="E173">
        <v>3.8065382892969102</v>
      </c>
      <c r="F173">
        <v>540</v>
      </c>
      <c r="G173" s="35">
        <v>614.26115067012404</v>
      </c>
      <c r="H173" s="5">
        <v>-515.23144059420656</v>
      </c>
      <c r="I173" s="5">
        <v>-515.23105980667333</v>
      </c>
      <c r="J173" s="5">
        <v>-515.19991039415208</v>
      </c>
      <c r="K173" s="5">
        <v>575.92307692307691</v>
      </c>
      <c r="L173" s="5">
        <v>612.07790584415591</v>
      </c>
      <c r="M173" s="5">
        <v>620.54029126213595</v>
      </c>
      <c r="N173" s="5">
        <v>555.46687652921764</v>
      </c>
      <c r="O173" s="5">
        <v>494.90544595458113</v>
      </c>
      <c r="P173">
        <v>557.23786290650412</v>
      </c>
      <c r="Q173" s="5">
        <v>609.59234725374517</v>
      </c>
      <c r="R173" s="5">
        <v>528.73297119140625</v>
      </c>
      <c r="S173" s="5">
        <v>568.9696044921875</v>
      </c>
      <c r="T173" s="5">
        <v>622.29257475340023</v>
      </c>
      <c r="U173" s="5">
        <v>567.76138066475789</v>
      </c>
      <c r="V173" s="5">
        <v>507.1554169965458</v>
      </c>
      <c r="W173" s="5">
        <v>491.93802259826811</v>
      </c>
      <c r="Y173" s="5">
        <v>390.65096517716802</v>
      </c>
    </row>
    <row r="174" spans="1:25">
      <c r="A174">
        <v>166</v>
      </c>
      <c r="B174">
        <v>5</v>
      </c>
      <c r="C174">
        <v>274.58620000000002</v>
      </c>
      <c r="D174">
        <v>28.813899030000002</v>
      </c>
      <c r="E174">
        <v>3.975903614457831</v>
      </c>
      <c r="F174">
        <v>1873.0701554700299</v>
      </c>
      <c r="G174" s="35">
        <v>1982.577747456497</v>
      </c>
      <c r="H174" s="5">
        <v>2359.8911527640989</v>
      </c>
      <c r="I174" s="5">
        <v>2359.8912408811912</v>
      </c>
      <c r="J174" s="5">
        <v>2359.9061697080219</v>
      </c>
      <c r="K174" s="5">
        <v>1897.3370269299439</v>
      </c>
      <c r="L174" s="5">
        <v>1965.2196850987309</v>
      </c>
      <c r="M174" s="5">
        <v>1964.525923749952</v>
      </c>
      <c r="N174" s="5">
        <v>1978.9160654329919</v>
      </c>
      <c r="O174" s="5">
        <v>1925.6883133096619</v>
      </c>
      <c r="P174">
        <v>1896.54856045568</v>
      </c>
      <c r="Q174" s="5">
        <v>1790.372073823185</v>
      </c>
      <c r="R174" s="5">
        <v>1969.251342773438</v>
      </c>
      <c r="S174" s="5">
        <v>1913.0780029296875</v>
      </c>
      <c r="T174" s="5">
        <v>1804.7347691137124</v>
      </c>
      <c r="U174" s="5">
        <v>1675.6992109586636</v>
      </c>
      <c r="V174" s="5">
        <v>1477.6876647227541</v>
      </c>
      <c r="W174" s="5">
        <v>1523.1379338125168</v>
      </c>
      <c r="X174" s="5">
        <v>1501.418336556176</v>
      </c>
      <c r="Y174" s="5">
        <v>1205.386929415351</v>
      </c>
    </row>
    <row r="175" spans="1:25">
      <c r="A175">
        <v>101.9</v>
      </c>
      <c r="B175">
        <v>3.03</v>
      </c>
      <c r="C175">
        <v>371</v>
      </c>
      <c r="D175">
        <v>51.3</v>
      </c>
      <c r="E175">
        <v>2.993130520117762</v>
      </c>
      <c r="F175">
        <v>926</v>
      </c>
      <c r="G175" s="35">
        <v>877</v>
      </c>
      <c r="H175" s="5">
        <v>346.23404925514802</v>
      </c>
      <c r="I175" s="5">
        <v>346.23438748520988</v>
      </c>
      <c r="J175" s="5">
        <v>346.26666723282909</v>
      </c>
      <c r="K175" s="5">
        <v>856.66666666666663</v>
      </c>
      <c r="L175" s="5">
        <v>861.67436431623912</v>
      </c>
      <c r="M175" s="5">
        <v>876.08054785020806</v>
      </c>
      <c r="N175" s="5">
        <v>862.16130915866904</v>
      </c>
      <c r="O175" s="5">
        <v>854.66986591961017</v>
      </c>
      <c r="P175">
        <v>849.40765297270684</v>
      </c>
      <c r="Q175" s="5">
        <v>815.260818062564</v>
      </c>
      <c r="R175" s="5">
        <v>870.43438720703125</v>
      </c>
      <c r="S175" s="5">
        <v>863.7457275390625</v>
      </c>
      <c r="T175" s="5">
        <v>1012.0720985408065</v>
      </c>
      <c r="U175" s="5">
        <v>935.73208018434309</v>
      </c>
      <c r="V175" s="5">
        <v>817.567109675388</v>
      </c>
      <c r="W175" s="5">
        <v>901.24169522206944</v>
      </c>
      <c r="X175" s="5">
        <v>862.3150426607159</v>
      </c>
      <c r="Y175" s="5">
        <v>695.09117544687842</v>
      </c>
    </row>
    <row r="176" spans="1:25">
      <c r="A176">
        <v>204</v>
      </c>
      <c r="B176">
        <v>2</v>
      </c>
      <c r="C176">
        <v>235.3596</v>
      </c>
      <c r="D176">
        <v>38.255741649999997</v>
      </c>
      <c r="E176">
        <v>4.117647058823529</v>
      </c>
      <c r="F176">
        <v>1637.7105547826959</v>
      </c>
      <c r="G176" s="35">
        <v>1437.1114198438891</v>
      </c>
      <c r="H176" s="5">
        <v>2791.27240392453</v>
      </c>
      <c r="I176" s="5">
        <v>2791.272079214451</v>
      </c>
      <c r="J176" s="5">
        <v>2791.31821041283</v>
      </c>
      <c r="K176" s="5">
        <v>1370.658317013515</v>
      </c>
      <c r="L176" s="5">
        <v>1662.528959534862</v>
      </c>
      <c r="M176" s="5">
        <v>1643.386461616152</v>
      </c>
      <c r="N176" s="5">
        <v>1753.595374371542</v>
      </c>
      <c r="O176" s="5">
        <v>1779.847201631874</v>
      </c>
      <c r="P176">
        <v>1589.301351235059</v>
      </c>
      <c r="Q176" s="5">
        <v>1587.8495232167591</v>
      </c>
      <c r="R176" s="5">
        <v>1584.590209960938</v>
      </c>
      <c r="S176" s="5">
        <v>1741.8851318359375</v>
      </c>
      <c r="T176" s="5">
        <v>1659.604021104268</v>
      </c>
      <c r="U176" s="5">
        <v>1685.7646928319787</v>
      </c>
      <c r="V176" s="5">
        <v>1408.9494887014212</v>
      </c>
      <c r="W176" s="5">
        <v>1440.4417799320961</v>
      </c>
      <c r="Y176" s="5">
        <v>1416.676613344564</v>
      </c>
    </row>
    <row r="177" spans="1:25">
      <c r="A177">
        <v>108</v>
      </c>
      <c r="B177">
        <v>4.5</v>
      </c>
      <c r="C177">
        <v>409.64</v>
      </c>
      <c r="D177">
        <v>28.6</v>
      </c>
      <c r="E177">
        <v>3.518518518518519</v>
      </c>
      <c r="F177">
        <v>1210.3</v>
      </c>
      <c r="G177" s="35">
        <v>1166.2</v>
      </c>
      <c r="H177" s="5">
        <v>808.46238229349774</v>
      </c>
      <c r="I177" s="5">
        <v>808.4627379518663</v>
      </c>
      <c r="J177" s="5">
        <v>808.48206387722098</v>
      </c>
      <c r="K177" s="5">
        <v>1424.328571428571</v>
      </c>
      <c r="L177" s="5">
        <v>1319.6101065116579</v>
      </c>
      <c r="M177" s="5">
        <v>1182.132238875656</v>
      </c>
      <c r="N177" s="5">
        <v>1268.185667086035</v>
      </c>
      <c r="O177" s="5">
        <v>1261.3409755977359</v>
      </c>
      <c r="P177">
        <v>1323.8979131886731</v>
      </c>
      <c r="Q177" s="5">
        <v>1421.309096017362</v>
      </c>
      <c r="R177" s="5">
        <v>1169.886962890625</v>
      </c>
      <c r="S177" s="5">
        <v>1317.86962890625</v>
      </c>
      <c r="T177" s="5">
        <v>1199.8559264497715</v>
      </c>
      <c r="U177" s="5">
        <v>1191.1558234828958</v>
      </c>
      <c r="V177" s="5">
        <v>1069.6086191103561</v>
      </c>
      <c r="W177" s="5">
        <v>1008.4729192276545</v>
      </c>
      <c r="X177" s="5">
        <v>1030.462193659057</v>
      </c>
      <c r="Y177" s="5">
        <v>800.55148246901706</v>
      </c>
    </row>
    <row r="178" spans="1:25">
      <c r="A178">
        <v>100</v>
      </c>
      <c r="B178">
        <v>3</v>
      </c>
      <c r="C178">
        <v>303.5</v>
      </c>
      <c r="D178">
        <v>46.8</v>
      </c>
      <c r="E178">
        <v>3</v>
      </c>
      <c r="F178">
        <v>708</v>
      </c>
      <c r="G178" s="35">
        <v>788.66666666666663</v>
      </c>
      <c r="H178" s="5">
        <v>-50.368015693784862</v>
      </c>
      <c r="I178" s="5">
        <v>-50.367591642791922</v>
      </c>
      <c r="J178" s="5">
        <v>-50.315528059492408</v>
      </c>
      <c r="K178" s="5">
        <v>804.39</v>
      </c>
      <c r="L178" s="5">
        <v>790.87371845359178</v>
      </c>
      <c r="M178" s="5">
        <v>788.6314019583433</v>
      </c>
      <c r="N178" s="5">
        <v>796.84305022446938</v>
      </c>
      <c r="O178" s="5">
        <v>814.16492232671283</v>
      </c>
      <c r="P178">
        <v>793.29206848382933</v>
      </c>
      <c r="Q178" s="5">
        <v>789.59672685066766</v>
      </c>
      <c r="R178" s="5">
        <v>788.8623046875</v>
      </c>
      <c r="S178" s="5">
        <v>809.4659423828125</v>
      </c>
      <c r="T178" s="5">
        <v>881.35877242234869</v>
      </c>
      <c r="U178" s="5">
        <v>774.26803469653078</v>
      </c>
      <c r="V178" s="5">
        <v>674.21263470232986</v>
      </c>
      <c r="W178" s="5">
        <v>753.02178107444774</v>
      </c>
      <c r="X178" s="5">
        <v>722.31052085579768</v>
      </c>
      <c r="Y178" s="5">
        <v>581.8404887493233</v>
      </c>
    </row>
    <row r="179" spans="1:25">
      <c r="A179">
        <v>219</v>
      </c>
      <c r="B179">
        <v>4.74</v>
      </c>
      <c r="C179">
        <v>350</v>
      </c>
      <c r="D179">
        <v>41.9</v>
      </c>
      <c r="E179">
        <v>2.968036529680365</v>
      </c>
      <c r="F179">
        <v>2680</v>
      </c>
      <c r="G179" s="35">
        <v>3160</v>
      </c>
      <c r="H179" s="5">
        <v>4348.9674553282839</v>
      </c>
      <c r="I179" s="5">
        <v>4348.967202509717</v>
      </c>
      <c r="J179" s="5">
        <v>4348.972074294762</v>
      </c>
      <c r="K179" s="5">
        <v>3142.636363636364</v>
      </c>
      <c r="L179" s="5">
        <v>3122.6332692307692</v>
      </c>
      <c r="M179" s="5">
        <v>3158.240291262136</v>
      </c>
      <c r="N179" s="5">
        <v>3263.5416941499102</v>
      </c>
      <c r="O179" s="5">
        <v>3244.6609593934159</v>
      </c>
      <c r="P179">
        <v>3261.525149440125</v>
      </c>
      <c r="Q179" s="5">
        <v>3145.8112351503751</v>
      </c>
      <c r="R179" s="5">
        <v>3157.100341796875</v>
      </c>
      <c r="S179" s="5">
        <v>3221.088623046875</v>
      </c>
      <c r="T179" s="5">
        <v>3147.1541247185887</v>
      </c>
      <c r="U179" s="5">
        <v>3253.6816768612816</v>
      </c>
      <c r="V179" s="5">
        <v>2825.6329917067687</v>
      </c>
      <c r="W179" s="5">
        <v>2986.9319329696373</v>
      </c>
      <c r="X179" s="5">
        <v>3050.1132212548682</v>
      </c>
      <c r="Y179" s="5">
        <v>2469.6616206614399</v>
      </c>
    </row>
    <row r="180" spans="1:25">
      <c r="A180">
        <v>129</v>
      </c>
      <c r="B180">
        <v>3</v>
      </c>
      <c r="C180">
        <v>306</v>
      </c>
      <c r="D180">
        <v>57.28</v>
      </c>
      <c r="E180">
        <v>3</v>
      </c>
      <c r="F180">
        <v>1287</v>
      </c>
      <c r="G180" s="35">
        <v>1294.4804928131421</v>
      </c>
      <c r="H180" s="5">
        <v>1133.764333400539</v>
      </c>
      <c r="I180" s="5">
        <v>1133.7645095049229</v>
      </c>
      <c r="J180" s="5">
        <v>1133.792761540501</v>
      </c>
      <c r="K180" s="5">
        <v>1158.285714285714</v>
      </c>
      <c r="L180" s="5">
        <v>1266.3318674443681</v>
      </c>
      <c r="M180" s="5">
        <v>1277.389563106796</v>
      </c>
      <c r="N180" s="5">
        <v>1218.8828205825821</v>
      </c>
      <c r="O180" s="5">
        <v>1140.9525485203969</v>
      </c>
      <c r="P180">
        <v>1247.8342808643449</v>
      </c>
      <c r="Q180" s="5">
        <v>1244.1798842500421</v>
      </c>
      <c r="R180" s="5">
        <v>1259.561401367188</v>
      </c>
      <c r="S180" s="5">
        <v>1378.6971435546875</v>
      </c>
      <c r="T180" s="5">
        <v>1361.6799466810191</v>
      </c>
      <c r="U180" s="5">
        <v>1269.2959205379982</v>
      </c>
      <c r="V180" s="5">
        <v>1087.7687512565662</v>
      </c>
      <c r="W180" s="5">
        <v>1243.2626517949643</v>
      </c>
      <c r="X180" s="5">
        <v>1195.734486719103</v>
      </c>
      <c r="Y180" s="5">
        <v>1001.483911423264</v>
      </c>
    </row>
    <row r="181" spans="1:25">
      <c r="A181">
        <v>127.1</v>
      </c>
      <c r="B181">
        <v>2.95</v>
      </c>
      <c r="C181">
        <v>376</v>
      </c>
      <c r="D181">
        <v>67.2</v>
      </c>
      <c r="E181">
        <v>5.5940204563335962</v>
      </c>
      <c r="F181">
        <v>1305</v>
      </c>
      <c r="G181" s="35">
        <v>1228.7781169238881</v>
      </c>
      <c r="H181" s="5">
        <v>1584.633862968426</v>
      </c>
      <c r="I181" s="5">
        <v>1584.633655939195</v>
      </c>
      <c r="J181" s="5">
        <v>1584.570905725863</v>
      </c>
      <c r="K181" s="5">
        <v>2082.636363636364</v>
      </c>
      <c r="L181" s="5">
        <v>1603.482074769938</v>
      </c>
      <c r="M181" s="5">
        <v>1413.454045307443</v>
      </c>
      <c r="N181" s="5">
        <v>1437.5395392328419</v>
      </c>
      <c r="O181" s="5">
        <v>1436.9240800745661</v>
      </c>
      <c r="P181">
        <v>1553.5730449133739</v>
      </c>
      <c r="Q181" s="5">
        <v>1440.750071490542</v>
      </c>
      <c r="R181" s="5">
        <v>1556.383422851562</v>
      </c>
      <c r="S181" s="5">
        <v>1217.69189453125</v>
      </c>
      <c r="T181" s="5">
        <v>1393.6635547140761</v>
      </c>
      <c r="U181" s="5">
        <v>1476.1345594170466</v>
      </c>
      <c r="V181" s="5">
        <v>1267.0261542775452</v>
      </c>
      <c r="W181" s="5">
        <v>1445.1611024478143</v>
      </c>
      <c r="Y181" s="5">
        <v>1130.1196070163669</v>
      </c>
    </row>
    <row r="182" spans="1:25">
      <c r="A182">
        <v>114.3</v>
      </c>
      <c r="B182">
        <v>3.5</v>
      </c>
      <c r="C182">
        <v>350</v>
      </c>
      <c r="D182">
        <v>33.4</v>
      </c>
      <c r="E182">
        <v>2.0034995625546812</v>
      </c>
      <c r="F182">
        <v>969</v>
      </c>
      <c r="G182" s="35">
        <v>952.51548905850541</v>
      </c>
      <c r="H182" s="5">
        <v>576.76646949188967</v>
      </c>
      <c r="I182" s="5">
        <v>576.7669050167342</v>
      </c>
      <c r="J182" s="5">
        <v>576.80979794230757</v>
      </c>
      <c r="K182" s="5">
        <v>914.93714285714282</v>
      </c>
      <c r="L182" s="5">
        <v>988.252765821705</v>
      </c>
      <c r="M182" s="5">
        <v>993.13642048056238</v>
      </c>
      <c r="N182" s="5">
        <v>1003.185627952656</v>
      </c>
      <c r="O182" s="5">
        <v>1006.336834299255</v>
      </c>
      <c r="P182">
        <v>881.08094574304391</v>
      </c>
      <c r="Q182" s="5">
        <v>968.63097671778223</v>
      </c>
      <c r="R182" s="5">
        <v>954.45745849609375</v>
      </c>
      <c r="S182" s="5">
        <v>1058.79931640625</v>
      </c>
      <c r="T182" s="5">
        <v>1156.7461299200668</v>
      </c>
      <c r="U182" s="5">
        <v>992.80162262234114</v>
      </c>
      <c r="V182" s="5">
        <v>878.39426643742831</v>
      </c>
      <c r="W182" s="5">
        <v>904.7428010709076</v>
      </c>
      <c r="X182" s="5">
        <v>969.54286111583224</v>
      </c>
      <c r="Y182" s="5">
        <v>711.1410615235103</v>
      </c>
    </row>
    <row r="183" spans="1:25">
      <c r="A183">
        <v>108</v>
      </c>
      <c r="B183">
        <v>4.5</v>
      </c>
      <c r="C183">
        <v>358</v>
      </c>
      <c r="D183">
        <v>77.400000000000006</v>
      </c>
      <c r="E183">
        <v>3.5</v>
      </c>
      <c r="F183">
        <v>1518</v>
      </c>
      <c r="G183" s="35">
        <v>1556.5</v>
      </c>
      <c r="H183" s="5">
        <v>1383.413494774536</v>
      </c>
      <c r="I183" s="5">
        <v>1383.413683334036</v>
      </c>
      <c r="J183" s="5">
        <v>1383.3965097208229</v>
      </c>
      <c r="K183" s="5">
        <v>1829.6324999999999</v>
      </c>
      <c r="L183" s="5">
        <v>1570.3374088827841</v>
      </c>
      <c r="M183" s="5">
        <v>1557.4309061488671</v>
      </c>
      <c r="N183" s="5">
        <v>1555.6653951228859</v>
      </c>
      <c r="O183" s="5">
        <v>1572.921176284359</v>
      </c>
      <c r="P183">
        <v>1547.9118690947239</v>
      </c>
      <c r="Q183" s="5">
        <v>1639.0189329848261</v>
      </c>
      <c r="R183" s="5">
        <v>1560.774169921875</v>
      </c>
      <c r="S183" s="5">
        <v>1644.9434814453125</v>
      </c>
      <c r="T183" s="5">
        <v>1535.084110287165</v>
      </c>
      <c r="U183" s="5">
        <v>1444.396608324422</v>
      </c>
      <c r="V183" s="5">
        <v>1257.4918443101728</v>
      </c>
    </row>
    <row r="184" spans="1:25">
      <c r="A184">
        <v>114.3</v>
      </c>
      <c r="B184">
        <v>4.5</v>
      </c>
      <c r="C184">
        <v>339</v>
      </c>
      <c r="D184">
        <v>33.4</v>
      </c>
      <c r="E184">
        <v>2.0034995625546812</v>
      </c>
      <c r="F184">
        <v>1069</v>
      </c>
      <c r="G184" s="35">
        <v>970.80166657480265</v>
      </c>
      <c r="H184" s="5">
        <v>686.44195565110431</v>
      </c>
      <c r="I184" s="5">
        <v>686.44250890996045</v>
      </c>
      <c r="J184" s="5">
        <v>686.51452313277332</v>
      </c>
      <c r="K184" s="5">
        <v>1209.925</v>
      </c>
      <c r="L184" s="5">
        <v>1240.536410980329</v>
      </c>
      <c r="M184" s="5">
        <v>1214.6753483877401</v>
      </c>
      <c r="N184" s="5">
        <v>986.36007035706484</v>
      </c>
      <c r="O184" s="5">
        <v>1031.9357308196491</v>
      </c>
      <c r="P184">
        <v>1014.184015501182</v>
      </c>
      <c r="Q184" s="5">
        <v>1097.0896678485551</v>
      </c>
      <c r="R184" s="5">
        <v>1153.032104492188</v>
      </c>
      <c r="S184" s="5">
        <v>1410.574951171875</v>
      </c>
      <c r="T184" s="5">
        <v>1390.6208992715779</v>
      </c>
      <c r="U184" s="5">
        <v>1143.3367460345401</v>
      </c>
      <c r="V184" s="5">
        <v>1017.4099022697816</v>
      </c>
      <c r="W184" s="5">
        <v>1022.9417762393856</v>
      </c>
      <c r="X184" s="5">
        <v>1106.31071468132</v>
      </c>
      <c r="Y184" s="5">
        <v>800.21800521197054</v>
      </c>
    </row>
    <row r="185" spans="1:25">
      <c r="A185">
        <v>200</v>
      </c>
      <c r="B185">
        <v>2</v>
      </c>
      <c r="C185">
        <v>404</v>
      </c>
      <c r="D185">
        <v>68.160000000000011</v>
      </c>
      <c r="E185">
        <v>3</v>
      </c>
      <c r="F185">
        <v>3011</v>
      </c>
      <c r="G185" s="35">
        <v>3644.376394445113</v>
      </c>
      <c r="H185" s="5">
        <v>3726.3358255277949</v>
      </c>
      <c r="I185" s="5">
        <v>3726.3354038554698</v>
      </c>
      <c r="J185" s="5">
        <v>3726.331414280005</v>
      </c>
      <c r="K185" s="5">
        <v>2365.8375000000001</v>
      </c>
      <c r="L185" s="5">
        <v>2528.5890993159342</v>
      </c>
      <c r="M185" s="5">
        <v>2894.4318932038832</v>
      </c>
      <c r="N185" s="5">
        <v>2895.1900866969308</v>
      </c>
      <c r="O185" s="5">
        <v>2989.4422689250819</v>
      </c>
      <c r="P185">
        <v>2849.8546319660531</v>
      </c>
      <c r="Q185" s="5">
        <v>2513.2226175528021</v>
      </c>
      <c r="R185" s="5">
        <v>2842.1953125</v>
      </c>
      <c r="S185" s="5">
        <v>2920.96142578125</v>
      </c>
      <c r="T185" s="5">
        <v>2890.889664915871</v>
      </c>
      <c r="U185" s="5">
        <v>2870.7330801292992</v>
      </c>
      <c r="V185" s="5">
        <v>2398.0858589607506</v>
      </c>
      <c r="W185" s="5">
        <v>2461.5814657408418</v>
      </c>
      <c r="Y185" s="5">
        <v>1917.6209477566599</v>
      </c>
    </row>
    <row r="186" spans="1:25">
      <c r="A186">
        <v>160</v>
      </c>
      <c r="B186">
        <v>6.3</v>
      </c>
      <c r="C186">
        <v>482.5</v>
      </c>
      <c r="D186">
        <v>57.004487308107109</v>
      </c>
      <c r="E186">
        <v>2.9750000000000001</v>
      </c>
      <c r="F186">
        <v>2430</v>
      </c>
      <c r="G186" s="35">
        <v>2459.755105465681</v>
      </c>
      <c r="H186" s="5">
        <v>3637.1198281989932</v>
      </c>
      <c r="I186" s="5">
        <v>3637.119860486654</v>
      </c>
      <c r="J186" s="5">
        <v>3637.079896602243</v>
      </c>
      <c r="K186" s="5">
        <v>3050.8393338664159</v>
      </c>
      <c r="L186" s="5">
        <v>2630.143657332002</v>
      </c>
      <c r="M186" s="5">
        <v>2362.1699029126212</v>
      </c>
      <c r="N186" s="5">
        <v>2786.135514557307</v>
      </c>
      <c r="O186" s="5">
        <v>2525.3563693342012</v>
      </c>
      <c r="P186">
        <v>2569.972270735183</v>
      </c>
      <c r="Q186" s="5">
        <v>2756.936313365155</v>
      </c>
      <c r="R186" s="5">
        <v>2352.506103515625</v>
      </c>
      <c r="S186" s="5">
        <v>2579.5712890625</v>
      </c>
      <c r="T186" s="5">
        <v>3191.0381720150276</v>
      </c>
      <c r="U186" s="5">
        <v>3350.5406569457718</v>
      </c>
      <c r="V186" s="5">
        <v>2967.0061243530777</v>
      </c>
      <c r="W186" s="5">
        <v>3028.1693414210135</v>
      </c>
      <c r="Y186" s="5">
        <v>2370.3313280264392</v>
      </c>
    </row>
    <row r="187" spans="1:25">
      <c r="A187">
        <v>222</v>
      </c>
      <c r="B187">
        <v>6.47</v>
      </c>
      <c r="C187">
        <v>843</v>
      </c>
      <c r="D187">
        <v>40.5</v>
      </c>
      <c r="E187">
        <v>3</v>
      </c>
      <c r="F187">
        <v>5714</v>
      </c>
      <c r="G187" s="35">
        <v>5638</v>
      </c>
      <c r="H187" s="5">
        <v>6588.0713716627897</v>
      </c>
      <c r="I187" s="5">
        <v>6588.0707189291224</v>
      </c>
      <c r="J187" s="5">
        <v>6587.9517104656907</v>
      </c>
      <c r="K187" s="5">
        <v>6896.4076014471329</v>
      </c>
      <c r="L187" s="5">
        <v>5952.8503108122986</v>
      </c>
      <c r="M187" s="5">
        <v>5638</v>
      </c>
      <c r="N187" s="5">
        <v>5997.0568703716717</v>
      </c>
      <c r="O187" s="5">
        <v>5717.5469411570757</v>
      </c>
      <c r="P187">
        <v>5634.5113025823184</v>
      </c>
      <c r="Q187" s="5">
        <v>5573.7505513681999</v>
      </c>
      <c r="R187" s="5">
        <v>5639.38525390625</v>
      </c>
      <c r="S187" s="5">
        <v>5677.779296875</v>
      </c>
      <c r="T187" s="5">
        <v>5849.5665468903999</v>
      </c>
      <c r="U187" s="5">
        <v>7003.721633511509</v>
      </c>
      <c r="V187" s="5">
        <v>6628.5445864347757</v>
      </c>
      <c r="W187" s="5">
        <v>5942.2694630346577</v>
      </c>
    </row>
    <row r="188" spans="1:25">
      <c r="A188">
        <v>108</v>
      </c>
      <c r="B188">
        <v>8</v>
      </c>
      <c r="C188">
        <v>351</v>
      </c>
      <c r="D188">
        <v>77.760000000000005</v>
      </c>
      <c r="E188">
        <v>3</v>
      </c>
      <c r="F188">
        <v>1896</v>
      </c>
      <c r="G188" s="35">
        <v>1900.714285714286</v>
      </c>
      <c r="H188" s="5">
        <v>2239.3827903326392</v>
      </c>
      <c r="I188" s="5">
        <v>2239.3831989201449</v>
      </c>
      <c r="J188" s="5">
        <v>2239.359807258134</v>
      </c>
      <c r="K188" s="5">
        <v>1829.6324999999999</v>
      </c>
      <c r="L188" s="5">
        <v>1895.5974258674021</v>
      </c>
      <c r="M188" s="5">
        <v>1904.558252427184</v>
      </c>
      <c r="N188" s="5">
        <v>1878.574146808035</v>
      </c>
      <c r="O188" s="5">
        <v>1905.893719652624</v>
      </c>
      <c r="P188">
        <v>1885.996861420344</v>
      </c>
      <c r="Q188" s="5">
        <v>1783.2983408283401</v>
      </c>
      <c r="R188" s="5">
        <v>1901.290649414062</v>
      </c>
      <c r="S188" s="5">
        <v>1860.6531982421875</v>
      </c>
      <c r="T188" s="5">
        <v>1965.5471584936017</v>
      </c>
      <c r="U188" s="5">
        <v>1946.0160896238717</v>
      </c>
      <c r="V188" s="5">
        <v>1720.7048780928837</v>
      </c>
    </row>
    <row r="189" spans="1:25">
      <c r="A189">
        <v>219.1</v>
      </c>
      <c r="B189">
        <v>6.3</v>
      </c>
      <c r="C189">
        <v>300</v>
      </c>
      <c r="D189">
        <v>170.13800000000001</v>
      </c>
      <c r="E189">
        <v>2.7384755819260609</v>
      </c>
      <c r="F189">
        <v>7407</v>
      </c>
      <c r="G189" s="35">
        <v>7503.7434646791244</v>
      </c>
      <c r="H189" s="5">
        <v>6562.3225472534514</v>
      </c>
      <c r="I189" s="5">
        <v>6562.3219290828547</v>
      </c>
      <c r="J189" s="5">
        <v>6562.2226995431502</v>
      </c>
      <c r="K189" s="5">
        <v>6170</v>
      </c>
      <c r="L189" s="5">
        <v>7483.0663461538461</v>
      </c>
      <c r="M189" s="5">
        <v>7574.2038834951454</v>
      </c>
      <c r="N189" s="5">
        <v>7137.4381440425814</v>
      </c>
      <c r="O189" s="5">
        <v>7403.6191576407382</v>
      </c>
      <c r="P189">
        <v>7414.6212393567539</v>
      </c>
      <c r="Q189" s="5">
        <v>7091.635124706776</v>
      </c>
      <c r="R189" s="5">
        <v>7550.9453125</v>
      </c>
      <c r="S189" s="5">
        <v>7247.634765625</v>
      </c>
      <c r="T189" s="5">
        <v>7550.6176723444178</v>
      </c>
      <c r="U189" s="5">
        <v>7517.5901424668182</v>
      </c>
      <c r="V189" s="5">
        <v>6445.9320958894223</v>
      </c>
    </row>
    <row r="190" spans="1:25">
      <c r="A190">
        <v>129</v>
      </c>
      <c r="B190">
        <v>3</v>
      </c>
      <c r="C190">
        <v>306</v>
      </c>
      <c r="D190">
        <v>59.68</v>
      </c>
      <c r="E190">
        <v>3</v>
      </c>
      <c r="F190">
        <v>1301</v>
      </c>
      <c r="G190" s="35">
        <v>1318.1514522821581</v>
      </c>
      <c r="H190" s="5">
        <v>1226.797988317323</v>
      </c>
      <c r="I190" s="5">
        <v>1226.798171444532</v>
      </c>
      <c r="J190" s="5">
        <v>1226.82412796941</v>
      </c>
      <c r="K190" s="5">
        <v>1324.285714285714</v>
      </c>
      <c r="L190" s="5">
        <v>1316.3482143423089</v>
      </c>
      <c r="M190" s="5">
        <v>1331.8955540144859</v>
      </c>
      <c r="N190" s="5">
        <v>1246.505825462654</v>
      </c>
      <c r="O190" s="5">
        <v>1214.1508537779241</v>
      </c>
      <c r="P190">
        <v>1287.5955693267711</v>
      </c>
      <c r="Q190" s="5">
        <v>1242.896526736745</v>
      </c>
      <c r="R190" s="5">
        <v>1289.052978515625</v>
      </c>
      <c r="S190" s="5">
        <v>1456.963134765625</v>
      </c>
      <c r="T190" s="5">
        <v>1391.1542248899191</v>
      </c>
      <c r="U190" s="5">
        <v>1297.8134136916944</v>
      </c>
      <c r="V190" s="5">
        <v>1110.5827457795228</v>
      </c>
      <c r="W190" s="5">
        <v>1272.3375169565154</v>
      </c>
      <c r="Y190" s="5">
        <v>1028.1848461418269</v>
      </c>
    </row>
    <row r="191" spans="1:25">
      <c r="A191">
        <v>114.57</v>
      </c>
      <c r="B191">
        <v>3.99</v>
      </c>
      <c r="C191">
        <v>343</v>
      </c>
      <c r="D191">
        <v>74.88</v>
      </c>
      <c r="E191">
        <v>2.6184865147944492</v>
      </c>
      <c r="F191">
        <v>1308</v>
      </c>
      <c r="G191" s="35">
        <v>1276.3178649764791</v>
      </c>
      <c r="H191" s="5">
        <v>1251.8175511534439</v>
      </c>
      <c r="I191" s="5">
        <v>1251.817827782502</v>
      </c>
      <c r="J191" s="5">
        <v>1251.837495693658</v>
      </c>
      <c r="K191" s="5">
        <v>1488.6</v>
      </c>
      <c r="L191" s="5">
        <v>1383.435495757971</v>
      </c>
      <c r="M191" s="5">
        <v>1294.710556385362</v>
      </c>
      <c r="N191" s="5">
        <v>1320.5916619475311</v>
      </c>
      <c r="O191" s="5">
        <v>1336.9665188838801</v>
      </c>
      <c r="P191">
        <v>1354.152736251001</v>
      </c>
      <c r="Q191" s="5">
        <v>1443.134371484311</v>
      </c>
      <c r="R191" s="5">
        <v>1282.02490234375</v>
      </c>
      <c r="S191" s="5">
        <v>1259.127197265625</v>
      </c>
      <c r="T191" s="5">
        <v>1517.4970168515099</v>
      </c>
      <c r="U191" s="5">
        <v>1438.3813895734268</v>
      </c>
      <c r="V191" s="5">
        <v>1244.0581882760814</v>
      </c>
    </row>
    <row r="192" spans="1:25">
      <c r="A192">
        <v>129</v>
      </c>
      <c r="B192">
        <v>3</v>
      </c>
      <c r="C192">
        <v>306</v>
      </c>
      <c r="D192">
        <v>55.760000000000012</v>
      </c>
      <c r="E192">
        <v>3</v>
      </c>
      <c r="F192">
        <v>1266</v>
      </c>
      <c r="G192" s="35">
        <v>1263.0993657505289</v>
      </c>
      <c r="H192" s="5">
        <v>1021.651495523152</v>
      </c>
      <c r="I192" s="5">
        <v>1021.651709857003</v>
      </c>
      <c r="J192" s="5">
        <v>1021.687382949436</v>
      </c>
      <c r="K192" s="5">
        <v>1246.384615384615</v>
      </c>
      <c r="L192" s="5">
        <v>1259.43998327895</v>
      </c>
      <c r="M192" s="5">
        <v>1254.0900485436889</v>
      </c>
      <c r="N192" s="5">
        <v>1239.5406156797239</v>
      </c>
      <c r="O192" s="5">
        <v>1223.133909042509</v>
      </c>
      <c r="P192">
        <v>1255.398314126842</v>
      </c>
      <c r="Q192" s="5">
        <v>1263.3532737348421</v>
      </c>
      <c r="R192" s="5">
        <v>1219.805541992188</v>
      </c>
      <c r="S192" s="5">
        <v>1315.9276123046875</v>
      </c>
      <c r="T192" s="5">
        <v>1342.7503969199038</v>
      </c>
      <c r="U192" s="5">
        <v>1251.2348415406575</v>
      </c>
      <c r="V192" s="5">
        <v>1073.3198880586938</v>
      </c>
      <c r="W192" s="5">
        <v>1224.5515692322251</v>
      </c>
      <c r="X192" s="5">
        <v>1178.5609172530319</v>
      </c>
      <c r="Y192" s="5">
        <v>984.56949749399939</v>
      </c>
    </row>
    <row r="193" spans="1:25">
      <c r="A193">
        <v>219</v>
      </c>
      <c r="B193">
        <v>3.8</v>
      </c>
      <c r="C193">
        <v>373</v>
      </c>
      <c r="D193">
        <v>37.3623262668659</v>
      </c>
      <c r="E193">
        <v>4</v>
      </c>
      <c r="F193">
        <v>2915</v>
      </c>
      <c r="G193" s="35">
        <v>3369.7434446004959</v>
      </c>
      <c r="H193" s="5">
        <v>4194.9713772751174</v>
      </c>
      <c r="I193" s="5">
        <v>4194.9709621724633</v>
      </c>
      <c r="J193" s="5">
        <v>4194.9522720438836</v>
      </c>
      <c r="K193" s="5">
        <v>3142.636363636364</v>
      </c>
      <c r="L193" s="5">
        <v>3127.452415027386</v>
      </c>
      <c r="M193" s="5">
        <v>3133.4135922330101</v>
      </c>
      <c r="N193" s="5">
        <v>2592.7657670298431</v>
      </c>
      <c r="O193" s="5">
        <v>3080.595234947376</v>
      </c>
      <c r="P193">
        <v>2898.7348640493128</v>
      </c>
      <c r="Q193" s="5">
        <v>3072.0366568209079</v>
      </c>
      <c r="R193" s="5">
        <v>3055.15234375</v>
      </c>
      <c r="S193" s="5">
        <v>3085.2421875</v>
      </c>
      <c r="T193" s="5">
        <v>2715.0009314192348</v>
      </c>
      <c r="U193" s="5">
        <v>2863.7812199994328</v>
      </c>
      <c r="V193" s="5">
        <v>2483.0290849330286</v>
      </c>
      <c r="W193" s="5">
        <v>2333.6983566817617</v>
      </c>
      <c r="X193" s="5">
        <v>2573.4903651575892</v>
      </c>
      <c r="Y193" s="5">
        <v>2171.525288272318</v>
      </c>
    </row>
    <row r="194" spans="1:25">
      <c r="A194">
        <v>219</v>
      </c>
      <c r="B194">
        <v>3.8</v>
      </c>
      <c r="C194">
        <v>325</v>
      </c>
      <c r="D194">
        <v>46.763208585700767</v>
      </c>
      <c r="E194">
        <v>4</v>
      </c>
      <c r="F194">
        <v>3602</v>
      </c>
      <c r="G194" s="35">
        <v>3155.6209594750871</v>
      </c>
      <c r="H194" s="5">
        <v>4195.2734965615473</v>
      </c>
      <c r="I194" s="5">
        <v>4195.273085628939</v>
      </c>
      <c r="J194" s="5">
        <v>4195.2607464577923</v>
      </c>
      <c r="K194" s="5">
        <v>3196.1</v>
      </c>
      <c r="L194" s="5">
        <v>3054.2780555728018</v>
      </c>
      <c r="M194" s="5">
        <v>3315.2827669902908</v>
      </c>
      <c r="N194" s="5">
        <v>3174.9457180556569</v>
      </c>
      <c r="O194" s="5">
        <v>3220.069686371271</v>
      </c>
      <c r="P194">
        <v>3012.8241290734959</v>
      </c>
      <c r="Q194" s="5">
        <v>3033.4049069513221</v>
      </c>
      <c r="R194" s="5">
        <v>3236.9443359375</v>
      </c>
      <c r="S194" s="5">
        <v>2665.9697265625</v>
      </c>
      <c r="T194" s="5">
        <v>2832.8554849345096</v>
      </c>
      <c r="U194" s="5">
        <v>2993.9758758902985</v>
      </c>
      <c r="V194" s="5">
        <v>2562.4765060832356</v>
      </c>
      <c r="W194" s="5">
        <v>2481.2439800047077</v>
      </c>
      <c r="X194" s="5">
        <v>2733.1116422752771</v>
      </c>
      <c r="Y194" s="5">
        <v>2357.4967253030882</v>
      </c>
    </row>
    <row r="195" spans="1:25">
      <c r="A195">
        <v>166</v>
      </c>
      <c r="B195">
        <v>5</v>
      </c>
      <c r="C195">
        <v>274.58620000000002</v>
      </c>
      <c r="D195">
        <v>28.813899030000002</v>
      </c>
      <c r="E195">
        <v>3.975903614457831</v>
      </c>
      <c r="F195">
        <v>2108.429756157363</v>
      </c>
      <c r="G195" s="35">
        <v>1904.124547227387</v>
      </c>
      <c r="H195" s="5">
        <v>2326.0000395761349</v>
      </c>
      <c r="I195" s="5">
        <v>2326.000131513737</v>
      </c>
      <c r="J195" s="5">
        <v>2326.0185923007948</v>
      </c>
      <c r="K195" s="5">
        <v>1863.33909166888</v>
      </c>
      <c r="L195" s="5">
        <v>1881.780583988121</v>
      </c>
      <c r="M195" s="5">
        <v>1895.429043027616</v>
      </c>
      <c r="N195" s="5">
        <v>1915.800393699672</v>
      </c>
      <c r="O195" s="5">
        <v>1893.954314048251</v>
      </c>
      <c r="P195">
        <v>1884.279773016277</v>
      </c>
      <c r="Q195" s="5">
        <v>1768.286898642504</v>
      </c>
      <c r="R195" s="5">
        <v>1900.282836914062</v>
      </c>
      <c r="S195" s="5">
        <v>1913.0780029296875</v>
      </c>
      <c r="T195" s="5">
        <v>1804.7347691137124</v>
      </c>
      <c r="U195" s="5">
        <v>1675.6992109586636</v>
      </c>
      <c r="V195" s="5">
        <v>1477.6876647227541</v>
      </c>
      <c r="W195" s="5">
        <v>1523.1379338125168</v>
      </c>
      <c r="X195" s="5">
        <v>1501.418336556176</v>
      </c>
      <c r="Y195" s="5">
        <v>1205.386929415351</v>
      </c>
    </row>
    <row r="196" spans="1:25">
      <c r="A196">
        <v>165</v>
      </c>
      <c r="B196">
        <v>2.76</v>
      </c>
      <c r="C196">
        <v>350</v>
      </c>
      <c r="D196">
        <v>68.7</v>
      </c>
      <c r="E196">
        <v>3.0909090909090908</v>
      </c>
      <c r="F196">
        <v>2060</v>
      </c>
      <c r="G196" s="35">
        <v>2250</v>
      </c>
      <c r="H196" s="5">
        <v>2546.3842362567839</v>
      </c>
      <c r="I196" s="5">
        <v>2546.3840964405999</v>
      </c>
      <c r="J196" s="5">
        <v>2546.3857830802149</v>
      </c>
      <c r="K196" s="5">
        <v>1909.3714285714291</v>
      </c>
      <c r="L196" s="5">
        <v>2233.9845748218731</v>
      </c>
      <c r="M196" s="5">
        <v>2247.6521844660192</v>
      </c>
      <c r="N196" s="5">
        <v>2368.832809773307</v>
      </c>
      <c r="O196" s="5">
        <v>2254.9400115975409</v>
      </c>
      <c r="P196">
        <v>2322.5671487926452</v>
      </c>
      <c r="Q196" s="5">
        <v>2110.8510815676382</v>
      </c>
      <c r="R196" s="5">
        <v>2241.13330078125</v>
      </c>
      <c r="S196" s="5">
        <v>2440.652587890625</v>
      </c>
      <c r="T196" s="5">
        <v>2231.190375282099</v>
      </c>
      <c r="U196" s="5">
        <v>2169.9588196930281</v>
      </c>
      <c r="V196" s="5">
        <v>1834.6874399899941</v>
      </c>
      <c r="W196" s="5">
        <v>1874.7379792015111</v>
      </c>
      <c r="Y196" s="5">
        <v>1775.5888051347879</v>
      </c>
    </row>
    <row r="197" spans="1:25">
      <c r="A197">
        <v>133</v>
      </c>
      <c r="B197">
        <v>5</v>
      </c>
      <c r="C197">
        <v>306</v>
      </c>
      <c r="D197">
        <v>51.2</v>
      </c>
      <c r="E197">
        <v>3</v>
      </c>
      <c r="F197">
        <v>1609</v>
      </c>
      <c r="G197" s="35">
        <v>1605.1489237929029</v>
      </c>
      <c r="H197" s="5">
        <v>1784.6676558439649</v>
      </c>
      <c r="I197" s="5">
        <v>1784.6679094987251</v>
      </c>
      <c r="J197" s="5">
        <v>1784.6763378985149</v>
      </c>
      <c r="K197" s="5">
        <v>1627.875</v>
      </c>
      <c r="L197" s="5">
        <v>1617.025601977318</v>
      </c>
      <c r="M197" s="5">
        <v>1617.6583063646169</v>
      </c>
      <c r="N197" s="5">
        <v>1571.848061553957</v>
      </c>
      <c r="O197" s="5">
        <v>1576.7374381618281</v>
      </c>
      <c r="P197">
        <v>1513.3971618262899</v>
      </c>
      <c r="Q197" s="5">
        <v>1559.347488378754</v>
      </c>
      <c r="R197" s="5">
        <v>1654.483764648438</v>
      </c>
      <c r="S197" s="5">
        <v>1568.38037109375</v>
      </c>
      <c r="T197" s="5">
        <v>1640.3541264675284</v>
      </c>
      <c r="U197" s="5">
        <v>1605.0773858308685</v>
      </c>
      <c r="V197" s="5">
        <v>1404.4540598263925</v>
      </c>
      <c r="W197" s="5">
        <v>1514.5570625126459</v>
      </c>
      <c r="X197" s="5">
        <v>1481.426314093434</v>
      </c>
      <c r="Y197" s="5">
        <v>1184.9384863797591</v>
      </c>
    </row>
    <row r="198" spans="1:25">
      <c r="A198">
        <v>168.3</v>
      </c>
      <c r="B198">
        <v>3.6</v>
      </c>
      <c r="C198">
        <v>288.39999999999998</v>
      </c>
      <c r="D198">
        <v>33.299999999999997</v>
      </c>
      <c r="E198">
        <v>1.8122400475341649</v>
      </c>
      <c r="F198">
        <v>1463</v>
      </c>
      <c r="G198" s="35">
        <v>1432</v>
      </c>
      <c r="H198" s="5">
        <v>2066.9990142325819</v>
      </c>
      <c r="I198" s="5">
        <v>2066.9992247764449</v>
      </c>
      <c r="J198" s="5">
        <v>2067.072677169574</v>
      </c>
      <c r="K198" s="5">
        <v>1295.8857142857139</v>
      </c>
      <c r="L198" s="5">
        <v>1418.984989716183</v>
      </c>
      <c r="M198" s="5">
        <v>1432.6611280628761</v>
      </c>
      <c r="N198" s="5">
        <v>1469.331964192229</v>
      </c>
      <c r="O198" s="5">
        <v>1425.0741153975639</v>
      </c>
      <c r="P198">
        <v>1388.367519836607</v>
      </c>
      <c r="Q198" s="5">
        <v>1488.007303608842</v>
      </c>
      <c r="R198" s="5">
        <v>1430.552856445312</v>
      </c>
      <c r="S198" s="5">
        <v>1672.536376953125</v>
      </c>
      <c r="T198" s="5">
        <v>1643.6579396785266</v>
      </c>
      <c r="U198" s="5">
        <v>1549.0484650712324</v>
      </c>
      <c r="V198" s="5">
        <v>1346.3965433025769</v>
      </c>
      <c r="W198" s="5">
        <v>1438.6890450918149</v>
      </c>
      <c r="X198" s="5">
        <v>1549.5100777811581</v>
      </c>
      <c r="Y198" s="5">
        <v>1179.132925385901</v>
      </c>
    </row>
    <row r="199" spans="1:25">
      <c r="A199">
        <v>165</v>
      </c>
      <c r="B199">
        <v>2.81</v>
      </c>
      <c r="C199">
        <v>350</v>
      </c>
      <c r="D199">
        <v>68.7</v>
      </c>
      <c r="E199">
        <v>3.0909090909090908</v>
      </c>
      <c r="F199">
        <v>2095</v>
      </c>
      <c r="G199" s="35">
        <v>2218.7786704167379</v>
      </c>
      <c r="H199" s="5">
        <v>2559.4821064433131</v>
      </c>
      <c r="I199" s="5">
        <v>2559.481968879003</v>
      </c>
      <c r="J199" s="5">
        <v>2559.4833553882472</v>
      </c>
      <c r="K199" s="5">
        <v>2493.8076923076919</v>
      </c>
      <c r="L199" s="5">
        <v>2307.8988198997099</v>
      </c>
      <c r="M199" s="5">
        <v>2267.4907281553401</v>
      </c>
      <c r="N199" s="5">
        <v>2368.832809773307</v>
      </c>
      <c r="O199" s="5">
        <v>2247.332769864593</v>
      </c>
      <c r="P199">
        <v>2322.5671487926452</v>
      </c>
      <c r="Q199" s="5">
        <v>2128.7996385604629</v>
      </c>
      <c r="R199" s="5">
        <v>2185.66162109375</v>
      </c>
      <c r="S199" s="5">
        <v>2159.871826171875</v>
      </c>
      <c r="T199" s="5">
        <v>2242.1604646729056</v>
      </c>
      <c r="U199" s="5">
        <v>2182.4378491621478</v>
      </c>
      <c r="V199" s="5">
        <v>1846.3949074996165</v>
      </c>
      <c r="W199" s="5">
        <v>1883.5421472510131</v>
      </c>
      <c r="Y199" s="5">
        <v>1782.7716040493231</v>
      </c>
    </row>
    <row r="200" spans="1:25">
      <c r="A200">
        <v>150</v>
      </c>
      <c r="B200">
        <v>2</v>
      </c>
      <c r="C200">
        <v>404</v>
      </c>
      <c r="D200">
        <v>68.160000000000011</v>
      </c>
      <c r="E200">
        <v>3</v>
      </c>
      <c r="F200">
        <v>1870</v>
      </c>
      <c r="G200" s="35">
        <v>2263.9554611711128</v>
      </c>
      <c r="H200" s="5">
        <v>1968.4480590977439</v>
      </c>
      <c r="I200" s="5">
        <v>1968.4479738768559</v>
      </c>
      <c r="J200" s="5">
        <v>1968.450081854782</v>
      </c>
      <c r="K200" s="5">
        <v>1908.940735428572</v>
      </c>
      <c r="L200" s="5">
        <v>1869.674205445194</v>
      </c>
      <c r="M200" s="5">
        <v>1886.625792880259</v>
      </c>
      <c r="N200" s="5">
        <v>2097.8388633923141</v>
      </c>
      <c r="O200" s="5">
        <v>1999.0920359822339</v>
      </c>
      <c r="P200">
        <v>1856.776716925742</v>
      </c>
      <c r="Q200" s="5">
        <v>1948.916891813371</v>
      </c>
      <c r="R200" s="5">
        <v>1915.906494140625</v>
      </c>
      <c r="S200" s="5">
        <v>1947.11376953125</v>
      </c>
      <c r="T200" s="5">
        <v>1849.6877953001963</v>
      </c>
      <c r="U200" s="5">
        <v>1749.7122903635461</v>
      </c>
      <c r="V200" s="5">
        <v>1475.371804300722</v>
      </c>
      <c r="W200" s="5">
        <v>1531.7426029571616</v>
      </c>
      <c r="Y200" s="5">
        <v>1441.7747223289939</v>
      </c>
    </row>
    <row r="201" spans="1:25">
      <c r="A201">
        <v>114.3</v>
      </c>
      <c r="B201">
        <v>3.35</v>
      </c>
      <c r="C201">
        <v>287.33</v>
      </c>
      <c r="D201">
        <v>96.868297488282096</v>
      </c>
      <c r="E201">
        <v>7</v>
      </c>
      <c r="F201">
        <v>1375.8</v>
      </c>
      <c r="G201" s="35">
        <v>1158.120816049425</v>
      </c>
      <c r="H201" s="5">
        <v>1588.081013702363</v>
      </c>
      <c r="I201" s="5">
        <v>1588.0807374678179</v>
      </c>
      <c r="J201" s="5">
        <v>1587.9961135266101</v>
      </c>
      <c r="K201" s="5">
        <v>1249.01</v>
      </c>
      <c r="L201" s="5">
        <v>1308.3561359097789</v>
      </c>
      <c r="M201" s="5">
        <v>1336.6257766990291</v>
      </c>
      <c r="N201" s="5">
        <v>1198.798778886626</v>
      </c>
      <c r="O201" s="5">
        <v>1295.031157072247</v>
      </c>
      <c r="P201">
        <v>1235.0782980683789</v>
      </c>
      <c r="Q201" s="5">
        <v>1236.346673532222</v>
      </c>
      <c r="R201" s="5">
        <v>1416.7734375</v>
      </c>
      <c r="S201" s="5">
        <v>1204.417724609375</v>
      </c>
      <c r="T201" s="5">
        <v>1206.4331505118548</v>
      </c>
      <c r="U201" s="5">
        <v>1424.3611577137726</v>
      </c>
      <c r="V201" s="5">
        <v>1205.8057094568071</v>
      </c>
    </row>
    <row r="202" spans="1:25">
      <c r="A202">
        <v>200</v>
      </c>
      <c r="B202">
        <v>6</v>
      </c>
      <c r="C202">
        <v>451</v>
      </c>
      <c r="D202">
        <v>112.1</v>
      </c>
      <c r="E202">
        <v>3.4750000000000001</v>
      </c>
      <c r="F202">
        <v>5040</v>
      </c>
      <c r="G202" s="35">
        <v>5099</v>
      </c>
      <c r="H202" s="5">
        <v>5735.4590791435994</v>
      </c>
      <c r="I202" s="5">
        <v>5735.4586079793407</v>
      </c>
      <c r="J202" s="5">
        <v>5735.3680797602019</v>
      </c>
      <c r="K202" s="5">
        <v>4184.8835822559413</v>
      </c>
      <c r="L202" s="5">
        <v>4858.0795592994091</v>
      </c>
      <c r="M202" s="5">
        <v>5099</v>
      </c>
      <c r="N202" s="5">
        <v>4900.0957163525654</v>
      </c>
      <c r="O202" s="5">
        <v>5120.4313788633099</v>
      </c>
      <c r="P202">
        <v>5137.8503227399588</v>
      </c>
      <c r="Q202" s="5">
        <v>4817.997737973853</v>
      </c>
      <c r="R202" s="5">
        <v>5105.10498046875</v>
      </c>
      <c r="S202" s="5">
        <v>5226.771484375</v>
      </c>
      <c r="T202" s="5">
        <v>5517.9054613249518</v>
      </c>
      <c r="U202" s="5">
        <v>5486.6777181768075</v>
      </c>
      <c r="V202" s="5">
        <v>4952.5501130013299</v>
      </c>
    </row>
    <row r="203" spans="1:25">
      <c r="A203">
        <v>238</v>
      </c>
      <c r="B203">
        <v>4.54</v>
      </c>
      <c r="C203">
        <v>507</v>
      </c>
      <c r="D203">
        <v>40.5</v>
      </c>
      <c r="E203">
        <v>3</v>
      </c>
      <c r="F203">
        <v>3583</v>
      </c>
      <c r="G203" s="35">
        <v>3647</v>
      </c>
      <c r="H203" s="5">
        <v>5470.2555382708761</v>
      </c>
      <c r="I203" s="5">
        <v>5470.2550224057504</v>
      </c>
      <c r="J203" s="5">
        <v>5470.2263356237499</v>
      </c>
      <c r="K203" s="5">
        <v>4778.5</v>
      </c>
      <c r="L203" s="5">
        <v>4178.8129850783307</v>
      </c>
      <c r="M203" s="5">
        <v>3647</v>
      </c>
      <c r="N203" s="5">
        <v>3962.8211143491371</v>
      </c>
      <c r="O203" s="5">
        <v>3800.1753706162099</v>
      </c>
      <c r="P203">
        <v>3637.201256262525</v>
      </c>
      <c r="Q203" s="5">
        <v>3649.615108811141</v>
      </c>
      <c r="R203" s="5">
        <v>3637.097412109375</v>
      </c>
      <c r="S203" s="5">
        <v>3714.0966796875</v>
      </c>
      <c r="T203" s="5">
        <v>3976.0181474607007</v>
      </c>
      <c r="U203" s="5">
        <v>4232.9882848753796</v>
      </c>
      <c r="V203" s="5">
        <v>3859.0677402960882</v>
      </c>
      <c r="W203" s="5">
        <v>3511.3927675629502</v>
      </c>
      <c r="Y203" s="5">
        <v>3240.046403187464</v>
      </c>
    </row>
    <row r="204" spans="1:25">
      <c r="A204">
        <v>165</v>
      </c>
      <c r="B204">
        <v>4</v>
      </c>
      <c r="C204">
        <v>338</v>
      </c>
      <c r="D204">
        <v>49.777395755965507</v>
      </c>
      <c r="E204">
        <v>3.0303030303030298</v>
      </c>
      <c r="F204">
        <v>2704.8</v>
      </c>
      <c r="G204" s="35">
        <v>2802.8</v>
      </c>
      <c r="H204" s="5">
        <v>2573.8808635876499</v>
      </c>
      <c r="I204" s="5">
        <v>2573.880873806675</v>
      </c>
      <c r="J204" s="5">
        <v>2573.8955195093681</v>
      </c>
      <c r="K204" s="5">
        <v>2599.4988575384609</v>
      </c>
      <c r="L204" s="5">
        <v>2765.7030070307528</v>
      </c>
      <c r="M204" s="5">
        <v>2795.920401928166</v>
      </c>
      <c r="N204" s="5">
        <v>2628.101769673227</v>
      </c>
      <c r="O204" s="5">
        <v>2712.6734848974738</v>
      </c>
      <c r="P204">
        <v>2715.685535470835</v>
      </c>
      <c r="Q204" s="5">
        <v>2284.3787227771008</v>
      </c>
      <c r="R204" s="5">
        <v>2815.321044921875</v>
      </c>
      <c r="S204" s="5">
        <v>2224.717529296875</v>
      </c>
      <c r="T204" s="5">
        <v>2103.6438078962196</v>
      </c>
      <c r="U204" s="5">
        <v>2071.4700536083305</v>
      </c>
      <c r="V204" s="5">
        <v>1793.1424024005948</v>
      </c>
      <c r="W204" s="5">
        <v>1969.6925887337472</v>
      </c>
      <c r="X204" s="5">
        <v>1933.5958982376919</v>
      </c>
      <c r="Y204" s="5">
        <v>1586.055417708136</v>
      </c>
    </row>
    <row r="205" spans="1:25">
      <c r="A205">
        <v>47.28</v>
      </c>
      <c r="B205">
        <v>1.87</v>
      </c>
      <c r="C205">
        <v>360</v>
      </c>
      <c r="D205">
        <v>22.309379285694259</v>
      </c>
      <c r="E205">
        <v>7.1912013536379016</v>
      </c>
      <c r="F205">
        <v>167</v>
      </c>
      <c r="G205" s="35">
        <v>174.27843494078371</v>
      </c>
      <c r="H205" s="5">
        <v>-1902.0448423656781</v>
      </c>
      <c r="I205" s="5">
        <v>-1902.044638427406</v>
      </c>
      <c r="J205" s="5">
        <v>-1902.096213140436</v>
      </c>
      <c r="K205" s="5">
        <v>193.6</v>
      </c>
      <c r="L205" s="5">
        <v>177.63345352564099</v>
      </c>
      <c r="M205" s="5">
        <v>183.36003236245949</v>
      </c>
      <c r="N205" s="5">
        <v>187.0244805018292</v>
      </c>
      <c r="O205" s="5">
        <v>186.56510159763269</v>
      </c>
      <c r="P205">
        <v>183.3117958631147</v>
      </c>
      <c r="Q205" s="5">
        <v>181.0019490870481</v>
      </c>
      <c r="R205" s="5">
        <v>172.30912780761719</v>
      </c>
      <c r="S205" s="5">
        <v>153.46519470214844</v>
      </c>
      <c r="T205" s="5">
        <v>147.22195088040098</v>
      </c>
      <c r="U205" s="5">
        <v>188.7989373580736</v>
      </c>
      <c r="V205" s="5">
        <v>169.78577069448269</v>
      </c>
      <c r="W205" s="5">
        <v>157.90707389812039</v>
      </c>
      <c r="Y205" s="5">
        <v>123.0633652696275</v>
      </c>
    </row>
    <row r="206" spans="1:25">
      <c r="A206">
        <v>166</v>
      </c>
      <c r="B206">
        <v>5</v>
      </c>
      <c r="C206">
        <v>274.39999999999998</v>
      </c>
      <c r="D206">
        <v>29.62</v>
      </c>
      <c r="E206">
        <v>3.012048192771084</v>
      </c>
      <c r="F206">
        <v>1999</v>
      </c>
      <c r="G206" s="35">
        <v>2043</v>
      </c>
      <c r="H206" s="5">
        <v>2339.212513597623</v>
      </c>
      <c r="I206" s="5">
        <v>2339.2126910171128</v>
      </c>
      <c r="J206" s="5">
        <v>2339.2523097207741</v>
      </c>
      <c r="K206" s="5">
        <v>2046.9793511169171</v>
      </c>
      <c r="L206" s="5">
        <v>1987.901578986849</v>
      </c>
      <c r="M206" s="5">
        <v>2037.8137130593821</v>
      </c>
      <c r="N206" s="5">
        <v>1983.8916610755</v>
      </c>
      <c r="O206" s="5">
        <v>1925.7515173159361</v>
      </c>
      <c r="P206">
        <v>1935.383549983728</v>
      </c>
      <c r="Q206" s="5">
        <v>1768.3791602751569</v>
      </c>
      <c r="R206" s="5">
        <v>2029.393798828125</v>
      </c>
      <c r="S206" s="5">
        <v>1956.349853515625</v>
      </c>
      <c r="T206" s="5">
        <v>1783.2456944569999</v>
      </c>
      <c r="U206" s="5">
        <v>1690.3437290330673</v>
      </c>
      <c r="V206" s="5">
        <v>1489.3102909377585</v>
      </c>
      <c r="W206" s="5">
        <v>1541.9718731273672</v>
      </c>
      <c r="X206" s="5">
        <v>1585.937755978915</v>
      </c>
      <c r="Y206" s="5">
        <v>1224.6119322259731</v>
      </c>
    </row>
    <row r="207" spans="1:25">
      <c r="A207">
        <v>250</v>
      </c>
      <c r="B207">
        <v>2.48</v>
      </c>
      <c r="C207">
        <v>326</v>
      </c>
      <c r="D207">
        <v>73.2</v>
      </c>
      <c r="E207">
        <v>2</v>
      </c>
      <c r="F207">
        <v>4528</v>
      </c>
      <c r="G207" s="35">
        <v>4802</v>
      </c>
      <c r="H207" s="5">
        <v>5085.7916244184398</v>
      </c>
      <c r="I207" s="5">
        <v>5085.7910971890487</v>
      </c>
      <c r="J207" s="5">
        <v>5085.8077113980398</v>
      </c>
      <c r="K207" s="5">
        <v>5391.9</v>
      </c>
      <c r="L207" s="5">
        <v>4921.1103846153846</v>
      </c>
      <c r="M207" s="5">
        <v>4802</v>
      </c>
      <c r="N207" s="5">
        <v>4474.6793556172979</v>
      </c>
      <c r="O207" s="5">
        <v>4661.0936917562276</v>
      </c>
      <c r="P207">
        <v>4604.342059628214</v>
      </c>
      <c r="Q207" s="5">
        <v>4870.9999999999973</v>
      </c>
      <c r="R207" s="5">
        <v>4800.8818359375</v>
      </c>
      <c r="S207" s="5">
        <v>4796.43408203125</v>
      </c>
      <c r="T207" s="5">
        <v>4608.868503855424</v>
      </c>
      <c r="U207" s="5">
        <v>4470.4940744767364</v>
      </c>
      <c r="V207" s="5">
        <v>3703.3657300957734</v>
      </c>
    </row>
    <row r="208" spans="1:25">
      <c r="A208">
        <v>120.8278</v>
      </c>
      <c r="B208">
        <v>4.0640000000000001</v>
      </c>
      <c r="C208">
        <v>451.60660184</v>
      </c>
      <c r="D208">
        <v>34.404838827200003</v>
      </c>
      <c r="E208">
        <v>1.9972671852007571</v>
      </c>
      <c r="F208">
        <v>1201.019832</v>
      </c>
      <c r="G208" s="35">
        <v>1173.8046863300819</v>
      </c>
      <c r="H208" s="5">
        <v>1214.2097751376309</v>
      </c>
      <c r="I208" s="5">
        <v>1214.21013579689</v>
      </c>
      <c r="J208" s="5">
        <v>1214.240199912987</v>
      </c>
      <c r="K208" s="5">
        <v>1251.6675232</v>
      </c>
      <c r="L208" s="5">
        <v>1194.564697307916</v>
      </c>
      <c r="M208" s="5">
        <v>1151.987295756117</v>
      </c>
      <c r="N208" s="5">
        <v>1241.254793062624</v>
      </c>
      <c r="O208" s="5">
        <v>1154.8568603020101</v>
      </c>
      <c r="P208">
        <v>1199.7836069223979</v>
      </c>
      <c r="Q208" s="5">
        <v>1146.0456760110001</v>
      </c>
      <c r="R208" s="5">
        <v>1153.046997070312</v>
      </c>
      <c r="S208" s="5">
        <v>1061.628173828125</v>
      </c>
      <c r="T208" s="5">
        <v>1482.2750491695765</v>
      </c>
      <c r="U208" s="5">
        <v>1433.8608865712563</v>
      </c>
      <c r="V208" s="5">
        <v>1279.4738489846209</v>
      </c>
      <c r="W208" s="5">
        <v>1250.3772874988126</v>
      </c>
      <c r="X208" s="5">
        <v>1378.02998654915</v>
      </c>
      <c r="Y208" s="5">
        <v>995.73272385018311</v>
      </c>
    </row>
    <row r="209" spans="1:25">
      <c r="A209">
        <v>190.7</v>
      </c>
      <c r="B209">
        <v>5.3</v>
      </c>
      <c r="C209">
        <v>382.5</v>
      </c>
      <c r="D209">
        <v>39.770000000000003</v>
      </c>
      <c r="E209">
        <v>3</v>
      </c>
      <c r="F209">
        <v>2544.8000000000002</v>
      </c>
      <c r="G209" s="35">
        <v>2406.0273371453059</v>
      </c>
      <c r="H209" s="5">
        <v>3772.5628864323999</v>
      </c>
      <c r="I209" s="5">
        <v>3772.5628126255169</v>
      </c>
      <c r="J209" s="5">
        <v>3772.5644413957839</v>
      </c>
      <c r="K209" s="5">
        <v>2046.9793511169171</v>
      </c>
      <c r="L209" s="5">
        <v>2359.931928010612</v>
      </c>
      <c r="M209" s="5">
        <v>2643.4880754875931</v>
      </c>
      <c r="N209" s="5">
        <v>2285.6218822737901</v>
      </c>
      <c r="O209" s="5">
        <v>2425.772072801753</v>
      </c>
      <c r="P209">
        <v>3165.3099415249872</v>
      </c>
      <c r="Q209" s="5">
        <v>2593.4912418269942</v>
      </c>
      <c r="R209" s="5">
        <v>2561.955322265625</v>
      </c>
      <c r="S209" s="5">
        <v>2829.873291015625</v>
      </c>
      <c r="T209" s="5">
        <v>2835.3831162481356</v>
      </c>
      <c r="U209" s="5">
        <v>2926.0024675678087</v>
      </c>
      <c r="V209" s="5">
        <v>2574.611493828857</v>
      </c>
      <c r="W209" s="5">
        <v>2651.2807026381884</v>
      </c>
      <c r="X209" s="5">
        <v>2694.93831773801</v>
      </c>
      <c r="Y209" s="5">
        <v>2126.7254125400259</v>
      </c>
    </row>
    <row r="210" spans="1:25">
      <c r="A210">
        <v>101.6</v>
      </c>
      <c r="B210">
        <v>3.03</v>
      </c>
      <c r="C210">
        <v>371</v>
      </c>
      <c r="D210">
        <v>23.2</v>
      </c>
      <c r="E210">
        <v>3.0019685039370079</v>
      </c>
      <c r="F210">
        <v>635</v>
      </c>
      <c r="G210" s="35">
        <v>657.99820761088233</v>
      </c>
      <c r="H210" s="5">
        <v>-47.518776573241666</v>
      </c>
      <c r="I210" s="5">
        <v>-47.518366111356947</v>
      </c>
      <c r="J210" s="5">
        <v>-47.471661328150283</v>
      </c>
      <c r="K210" s="5">
        <v>686.21428571428567</v>
      </c>
      <c r="L210" s="5">
        <v>668.91068206849343</v>
      </c>
      <c r="M210" s="5">
        <v>659.2906398118555</v>
      </c>
      <c r="N210" s="5">
        <v>667.93612361374142</v>
      </c>
      <c r="O210" s="5">
        <v>653.38465285869063</v>
      </c>
      <c r="P210">
        <v>626.34823398994206</v>
      </c>
      <c r="Q210" s="5">
        <v>731.16258868239072</v>
      </c>
      <c r="R210" s="5">
        <v>613.18743896484375</v>
      </c>
      <c r="S210" s="5">
        <v>675.483642578125</v>
      </c>
      <c r="T210" s="5">
        <v>792.51874217165982</v>
      </c>
      <c r="U210" s="5">
        <v>730.25275623323375</v>
      </c>
      <c r="V210" s="5">
        <v>652.96718012985048</v>
      </c>
      <c r="W210" s="5">
        <v>627.11550651503728</v>
      </c>
      <c r="Y210" s="5">
        <v>502.7754362902773</v>
      </c>
    </row>
    <row r="211" spans="1:25">
      <c r="A211">
        <v>112.56</v>
      </c>
      <c r="B211">
        <v>2.89</v>
      </c>
      <c r="C211">
        <v>360</v>
      </c>
      <c r="D211">
        <v>23.338477713828741</v>
      </c>
      <c r="E211">
        <v>3.020611229566454</v>
      </c>
      <c r="F211">
        <v>745</v>
      </c>
      <c r="G211" s="35">
        <v>716</v>
      </c>
      <c r="H211" s="5">
        <v>213.12644987473999</v>
      </c>
      <c r="I211" s="5">
        <v>213.12679830167011</v>
      </c>
      <c r="J211" s="5">
        <v>213.17104999514959</v>
      </c>
      <c r="K211" s="5">
        <v>674</v>
      </c>
      <c r="L211" s="5">
        <v>708.85808160266106</v>
      </c>
      <c r="M211" s="5">
        <v>714.98939984233687</v>
      </c>
      <c r="N211" s="5">
        <v>717.04645883342869</v>
      </c>
      <c r="O211" s="5">
        <v>720.5618350848506</v>
      </c>
      <c r="P211">
        <v>696.87946673223416</v>
      </c>
      <c r="Q211" s="5">
        <v>775.08568262617757</v>
      </c>
      <c r="R211" s="5">
        <v>713.30572509765625</v>
      </c>
      <c r="S211" s="5">
        <v>743.0443115234375</v>
      </c>
      <c r="T211" s="5">
        <v>855.22063118372864</v>
      </c>
      <c r="U211" s="5">
        <v>789.69972162333499</v>
      </c>
      <c r="V211" s="5">
        <v>702.91424067355308</v>
      </c>
      <c r="W211" s="5">
        <v>686.17105070671323</v>
      </c>
      <c r="Y211" s="5">
        <v>553.29331202874084</v>
      </c>
    </row>
    <row r="212" spans="1:25">
      <c r="A212">
        <v>133</v>
      </c>
      <c r="B212">
        <v>4.7</v>
      </c>
      <c r="C212">
        <v>352</v>
      </c>
      <c r="D212">
        <v>67.760000000000005</v>
      </c>
      <c r="E212">
        <v>3.496240601503759</v>
      </c>
      <c r="F212">
        <v>2253</v>
      </c>
      <c r="G212" s="35">
        <v>1908.0578795604549</v>
      </c>
      <c r="H212" s="5">
        <v>2060.032664185971</v>
      </c>
      <c r="I212" s="5">
        <v>2060.0327552710178</v>
      </c>
      <c r="J212" s="5">
        <v>2060.018903566744</v>
      </c>
      <c r="K212" s="5">
        <v>2083</v>
      </c>
      <c r="L212" s="5">
        <v>2010.047017213556</v>
      </c>
      <c r="M212" s="5">
        <v>2007.0130201109571</v>
      </c>
      <c r="N212" s="5">
        <v>2145.4534932171382</v>
      </c>
      <c r="O212" s="5">
        <v>2135.5656427811159</v>
      </c>
      <c r="P212">
        <v>2141.8783444239862</v>
      </c>
      <c r="Q212" s="5">
        <v>1925.291799475852</v>
      </c>
      <c r="R212" s="5">
        <v>2103.540771484375</v>
      </c>
      <c r="S212" s="5">
        <v>2054.139404296875</v>
      </c>
      <c r="T212" s="5">
        <v>1949.7270973190728</v>
      </c>
      <c r="U212" s="5">
        <v>1893.2874879419594</v>
      </c>
      <c r="V212" s="5">
        <v>1645.4815083952587</v>
      </c>
      <c r="W212" s="5">
        <v>1805.4836492723564</v>
      </c>
      <c r="Y212" s="5">
        <v>1422.93915564796</v>
      </c>
    </row>
    <row r="213" spans="1:25">
      <c r="A213">
        <v>190.7</v>
      </c>
      <c r="B213">
        <v>5.3</v>
      </c>
      <c r="C213">
        <v>382.5</v>
      </c>
      <c r="D213">
        <v>39.770000000000003</v>
      </c>
      <c r="E213">
        <v>3</v>
      </c>
      <c r="F213">
        <v>2530.3000000000002</v>
      </c>
      <c r="G213" s="35">
        <v>2406.0273371453059</v>
      </c>
      <c r="H213" s="5">
        <v>3772.5628864323999</v>
      </c>
      <c r="I213" s="5">
        <v>3772.5628126255169</v>
      </c>
      <c r="J213" s="5">
        <v>3772.5644413957839</v>
      </c>
      <c r="K213" s="5">
        <v>2046.9793511169171</v>
      </c>
      <c r="L213" s="5">
        <v>2359.931928010612</v>
      </c>
      <c r="M213" s="5">
        <v>2643.4880754875931</v>
      </c>
      <c r="N213" s="5">
        <v>2285.6218822737901</v>
      </c>
      <c r="O213" s="5">
        <v>2425.772072801753</v>
      </c>
      <c r="P213">
        <v>3165.3099415249872</v>
      </c>
      <c r="Q213" s="5">
        <v>2593.4912418269942</v>
      </c>
      <c r="R213" s="5">
        <v>2561.955322265625</v>
      </c>
      <c r="S213" s="5">
        <v>2884.6220703125</v>
      </c>
      <c r="T213" s="5">
        <v>2835.3831162481356</v>
      </c>
      <c r="U213" s="5">
        <v>2926.0024675678087</v>
      </c>
      <c r="V213" s="5">
        <v>2574.611493828857</v>
      </c>
      <c r="W213" s="5">
        <v>2651.2807026381884</v>
      </c>
      <c r="X213" s="5">
        <v>2694.93831773801</v>
      </c>
      <c r="Y213" s="5">
        <v>2126.7254125400259</v>
      </c>
    </row>
    <row r="214" spans="1:25">
      <c r="A214">
        <v>76.209999999999994</v>
      </c>
      <c r="B214">
        <v>2.52</v>
      </c>
      <c r="C214">
        <v>286</v>
      </c>
      <c r="D214">
        <v>145</v>
      </c>
      <c r="E214">
        <v>3.9364912741110092</v>
      </c>
      <c r="F214">
        <v>752</v>
      </c>
      <c r="G214" s="35">
        <v>881.22688506142492</v>
      </c>
      <c r="H214" s="5">
        <v>786.39203546286672</v>
      </c>
      <c r="I214" s="5">
        <v>786.3921423883819</v>
      </c>
      <c r="J214" s="5">
        <v>786.34375718423576</v>
      </c>
      <c r="K214" s="5">
        <v>631.28571428571433</v>
      </c>
      <c r="L214" s="5">
        <v>751.63840433490134</v>
      </c>
      <c r="M214" s="5">
        <v>768.49149070045291</v>
      </c>
      <c r="N214" s="5">
        <v>747.20479399886369</v>
      </c>
      <c r="O214" s="5">
        <v>783.87418614818023</v>
      </c>
      <c r="P214">
        <v>713.58917271270309</v>
      </c>
      <c r="Q214" s="5">
        <v>728.0950439069029</v>
      </c>
      <c r="R214" s="5">
        <v>724.57940673828125</v>
      </c>
      <c r="S214" s="5">
        <v>842.713623046875</v>
      </c>
      <c r="T214" s="5">
        <v>814.12843633620446</v>
      </c>
      <c r="U214" s="5">
        <v>817.09861272365549</v>
      </c>
      <c r="V214" s="5">
        <v>710.53680558380745</v>
      </c>
    </row>
    <row r="215" spans="1:25">
      <c r="A215">
        <v>200</v>
      </c>
      <c r="B215">
        <v>3</v>
      </c>
      <c r="C215">
        <v>303.5</v>
      </c>
      <c r="D215">
        <v>46.8</v>
      </c>
      <c r="E215">
        <v>3</v>
      </c>
      <c r="F215">
        <v>2256</v>
      </c>
      <c r="G215" s="35">
        <v>2270</v>
      </c>
      <c r="H215" s="5">
        <v>3274.159467346356</v>
      </c>
      <c r="I215" s="5">
        <v>3274.1592760478102</v>
      </c>
      <c r="J215" s="5">
        <v>3274.1882313161709</v>
      </c>
      <c r="K215" s="5">
        <v>2472.3230769230772</v>
      </c>
      <c r="L215" s="5">
        <v>2306.4119243163059</v>
      </c>
      <c r="M215" s="5">
        <v>2298.5680250383239</v>
      </c>
      <c r="N215" s="5">
        <v>2421.9132342713342</v>
      </c>
      <c r="O215" s="5">
        <v>2354.3343209450709</v>
      </c>
      <c r="P215">
        <v>2301.7931525668942</v>
      </c>
      <c r="Q215" s="5">
        <v>2336.9147132181788</v>
      </c>
      <c r="R215" s="5">
        <v>2297.347412109375</v>
      </c>
      <c r="S215" s="5">
        <v>2390.384033203125</v>
      </c>
      <c r="T215" s="5">
        <v>2279.7580560651386</v>
      </c>
      <c r="U215" s="5">
        <v>2296.2471532472955</v>
      </c>
      <c r="V215" s="5">
        <v>1950.1935903376136</v>
      </c>
      <c r="W215" s="5">
        <v>1938.6279986244717</v>
      </c>
      <c r="X215" s="5">
        <v>2190.4064807208802</v>
      </c>
      <c r="Y215" s="5">
        <v>1860.9827171413419</v>
      </c>
    </row>
    <row r="216" spans="1:25">
      <c r="A216">
        <v>112.56</v>
      </c>
      <c r="B216">
        <v>2.89</v>
      </c>
      <c r="C216">
        <v>360</v>
      </c>
      <c r="D216">
        <v>17.658646438290461</v>
      </c>
      <c r="E216">
        <v>3.020611229566454</v>
      </c>
      <c r="F216">
        <v>650</v>
      </c>
      <c r="G216" s="35">
        <v>682.0124205825274</v>
      </c>
      <c r="H216" s="5">
        <v>88.550506159995621</v>
      </c>
      <c r="I216" s="5">
        <v>88.550921832866607</v>
      </c>
      <c r="J216" s="5">
        <v>88.612619470973186</v>
      </c>
      <c r="K216" s="5">
        <v>663.5</v>
      </c>
      <c r="L216" s="5">
        <v>687.23384118591298</v>
      </c>
      <c r="M216" s="5">
        <v>675.3547503467405</v>
      </c>
      <c r="N216" s="5">
        <v>676.67299228761806</v>
      </c>
      <c r="O216" s="5">
        <v>705.06381686327495</v>
      </c>
      <c r="P216">
        <v>699.3433962658977</v>
      </c>
      <c r="Q216" s="5">
        <v>765.22995838454733</v>
      </c>
      <c r="R216" s="5">
        <v>670.03753662109375</v>
      </c>
      <c r="S216" s="5">
        <v>752.0675048828125</v>
      </c>
      <c r="T216" s="5">
        <v>805.04034526822863</v>
      </c>
      <c r="U216" s="5">
        <v>738.8363495353359</v>
      </c>
      <c r="V216" s="5">
        <v>662.22354300315396</v>
      </c>
      <c r="W216" s="5">
        <v>614.06529341667647</v>
      </c>
    </row>
    <row r="217" spans="1:25">
      <c r="A217">
        <v>100</v>
      </c>
      <c r="B217">
        <v>2</v>
      </c>
      <c r="C217">
        <v>216</v>
      </c>
      <c r="D217">
        <v>19.224</v>
      </c>
      <c r="E217">
        <v>4.2</v>
      </c>
      <c r="F217">
        <v>420</v>
      </c>
      <c r="G217" s="35">
        <v>539.7964229414016</v>
      </c>
      <c r="H217" s="5">
        <v>-851.95572929800255</v>
      </c>
      <c r="I217" s="5">
        <v>-851.95537177922733</v>
      </c>
      <c r="J217" s="5">
        <v>-851.89246039458521</v>
      </c>
      <c r="K217" s="5">
        <v>467.45</v>
      </c>
      <c r="L217" s="5">
        <v>530.08124293599394</v>
      </c>
      <c r="M217" s="5">
        <v>492.90190932773731</v>
      </c>
      <c r="N217" s="5">
        <v>397.47819646397102</v>
      </c>
      <c r="O217" s="5">
        <v>399.43411083637181</v>
      </c>
      <c r="P217">
        <v>414.35994876674602</v>
      </c>
      <c r="Q217" s="5">
        <v>576.83838659502408</v>
      </c>
      <c r="R217" s="5">
        <v>469.80267333984381</v>
      </c>
      <c r="S217" s="5">
        <v>198.0206298828125</v>
      </c>
      <c r="T217" s="5">
        <v>481.05818825566274</v>
      </c>
      <c r="U217" s="5">
        <v>354.6117192691454</v>
      </c>
      <c r="V217" s="5">
        <v>310.26092827426726</v>
      </c>
      <c r="W217" s="5">
        <v>298.70768216201986</v>
      </c>
    </row>
    <row r="218" spans="1:25">
      <c r="A218">
        <v>108</v>
      </c>
      <c r="B218">
        <v>5.5</v>
      </c>
      <c r="C218">
        <v>383.1</v>
      </c>
      <c r="D218">
        <v>89.44</v>
      </c>
      <c r="E218">
        <v>3</v>
      </c>
      <c r="F218">
        <v>1951</v>
      </c>
      <c r="G218" s="35">
        <v>1915.561604584527</v>
      </c>
      <c r="H218" s="5">
        <v>1976.4315644445251</v>
      </c>
      <c r="I218" s="5">
        <v>1976.4318117508469</v>
      </c>
      <c r="J218" s="5">
        <v>1976.40283943278</v>
      </c>
      <c r="K218" s="5">
        <v>2075.818181818182</v>
      </c>
      <c r="L218" s="5">
        <v>1921.5139423076921</v>
      </c>
      <c r="M218" s="5">
        <v>1906.9627831715211</v>
      </c>
      <c r="N218" s="5">
        <v>1952.028715176853</v>
      </c>
      <c r="O218" s="5">
        <v>1935.761224979844</v>
      </c>
      <c r="P218">
        <v>1936.0214409509049</v>
      </c>
      <c r="Q218" s="5">
        <v>1925.8247594579011</v>
      </c>
      <c r="R218" s="5">
        <v>1917.3369140625</v>
      </c>
      <c r="S218" s="5">
        <v>1973.9034423828125</v>
      </c>
      <c r="T218" s="5">
        <v>1856.4402489003755</v>
      </c>
      <c r="U218" s="5">
        <v>1760.111503971661</v>
      </c>
      <c r="V218" s="5">
        <v>1538.5625152327534</v>
      </c>
    </row>
    <row r="219" spans="1:25">
      <c r="A219">
        <v>217.34</v>
      </c>
      <c r="B219">
        <v>2.96</v>
      </c>
      <c r="C219">
        <v>342</v>
      </c>
      <c r="D219">
        <v>37.3623262668659</v>
      </c>
      <c r="E219">
        <v>3.0367166651329711</v>
      </c>
      <c r="F219">
        <v>1814</v>
      </c>
      <c r="G219" s="35">
        <v>1976.003243655156</v>
      </c>
      <c r="H219" s="5">
        <v>3747.3592414596301</v>
      </c>
      <c r="I219" s="5">
        <v>3747.358938886262</v>
      </c>
      <c r="J219" s="5">
        <v>3747.3983473813742</v>
      </c>
      <c r="K219" s="5">
        <v>2128.91</v>
      </c>
      <c r="L219" s="5">
        <v>2898.0162089147811</v>
      </c>
      <c r="M219" s="5">
        <v>2705.8368932038852</v>
      </c>
      <c r="N219" s="5">
        <v>2763.7848546128162</v>
      </c>
      <c r="O219" s="5">
        <v>2694.8449300919092</v>
      </c>
      <c r="P219">
        <v>2718.3355295789729</v>
      </c>
      <c r="Q219" s="5">
        <v>2924.5761560075598</v>
      </c>
      <c r="R219" s="5">
        <v>3152.5751953125</v>
      </c>
      <c r="S219" s="5">
        <v>2747.9462890625</v>
      </c>
      <c r="T219" s="5">
        <v>2370.3075140832862</v>
      </c>
      <c r="U219" s="5">
        <v>2416.1470298638205</v>
      </c>
      <c r="V219" s="5">
        <v>2070.0783167350055</v>
      </c>
      <c r="W219" s="5">
        <v>2002.9218976280508</v>
      </c>
      <c r="X219" s="5">
        <v>2292.8703543207639</v>
      </c>
      <c r="Y219" s="5">
        <v>1910.8210215568711</v>
      </c>
    </row>
    <row r="220" spans="1:25">
      <c r="A220">
        <v>250</v>
      </c>
      <c r="B220">
        <v>2</v>
      </c>
      <c r="C220">
        <v>404</v>
      </c>
      <c r="D220">
        <v>72</v>
      </c>
      <c r="E220">
        <v>3</v>
      </c>
      <c r="F220">
        <v>4720</v>
      </c>
      <c r="G220" s="35">
        <v>4800</v>
      </c>
      <c r="H220" s="5">
        <v>5247.7350130417417</v>
      </c>
      <c r="I220" s="5">
        <v>5247.7343462631234</v>
      </c>
      <c r="J220" s="5">
        <v>5247.7537113287945</v>
      </c>
      <c r="K220" s="5">
        <v>4937.5</v>
      </c>
      <c r="L220" s="5">
        <v>4698.4414355420413</v>
      </c>
      <c r="M220" s="5">
        <v>4800</v>
      </c>
      <c r="N220" s="5">
        <v>4443.5595058836579</v>
      </c>
      <c r="O220" s="5">
        <v>4613.3171977316779</v>
      </c>
      <c r="P220">
        <v>4624.8370544062773</v>
      </c>
      <c r="Q220" s="5">
        <v>4662.0167309867147</v>
      </c>
      <c r="R220" s="5">
        <v>4813.80615234375</v>
      </c>
      <c r="S220" s="5">
        <v>4693.36083984375</v>
      </c>
      <c r="T220" s="5">
        <v>4201.5623395729226</v>
      </c>
      <c r="U220" s="5">
        <v>4441.9295201645564</v>
      </c>
      <c r="V220" s="5">
        <v>3680.9381285077484</v>
      </c>
      <c r="W220" s="5">
        <v>3717.4317017019744</v>
      </c>
    </row>
    <row r="221" spans="1:25">
      <c r="A221">
        <v>200</v>
      </c>
      <c r="B221">
        <v>3</v>
      </c>
      <c r="C221">
        <v>303.5</v>
      </c>
      <c r="D221">
        <v>46.8</v>
      </c>
      <c r="E221">
        <v>3</v>
      </c>
      <c r="F221">
        <v>2160</v>
      </c>
      <c r="G221" s="35">
        <v>2319.5</v>
      </c>
      <c r="H221" s="5">
        <v>3245.189802212924</v>
      </c>
      <c r="I221" s="5">
        <v>3245.1896004487662</v>
      </c>
      <c r="J221" s="5">
        <v>3245.2291859007059</v>
      </c>
      <c r="K221" s="5">
        <v>2128.91</v>
      </c>
      <c r="L221" s="5">
        <v>2320.6981735145591</v>
      </c>
      <c r="M221" s="5">
        <v>2319.5671521035601</v>
      </c>
      <c r="N221" s="5">
        <v>2378.0712699679389</v>
      </c>
      <c r="O221" s="5">
        <v>2342.8286005708601</v>
      </c>
      <c r="P221">
        <v>2256.025059912974</v>
      </c>
      <c r="Q221" s="5">
        <v>2200.2680538597979</v>
      </c>
      <c r="R221" s="5">
        <v>2316.074951171875</v>
      </c>
      <c r="S221" s="5">
        <v>2454.005615234375</v>
      </c>
      <c r="T221" s="5">
        <v>2279.7580560651386</v>
      </c>
      <c r="U221" s="5">
        <v>2296.2471532472955</v>
      </c>
      <c r="V221" s="5">
        <v>1950.1935903376136</v>
      </c>
      <c r="W221" s="5">
        <v>1938.6279986244717</v>
      </c>
      <c r="X221" s="5">
        <v>2190.4064807208802</v>
      </c>
      <c r="Y221" s="5">
        <v>1860.9827171413419</v>
      </c>
    </row>
    <row r="222" spans="1:25">
      <c r="A222">
        <v>166</v>
      </c>
      <c r="B222">
        <v>5.0999999999999996</v>
      </c>
      <c r="C222">
        <v>373.3</v>
      </c>
      <c r="D222">
        <v>48.67822234297708</v>
      </c>
      <c r="E222">
        <v>2.9698795180722888</v>
      </c>
      <c r="F222">
        <v>2309</v>
      </c>
      <c r="G222" s="35">
        <v>1810.5639419385079</v>
      </c>
      <c r="H222" s="5">
        <v>2994.7028224259102</v>
      </c>
      <c r="I222" s="5">
        <v>2994.7028736827219</v>
      </c>
      <c r="J222" s="5">
        <v>2994.7033056431069</v>
      </c>
      <c r="K222" s="5">
        <v>1601.9416666666671</v>
      </c>
      <c r="L222" s="5">
        <v>2263.7162911857158</v>
      </c>
      <c r="M222" s="5">
        <v>2302.288491140348</v>
      </c>
      <c r="N222" s="5">
        <v>2265.065811721563</v>
      </c>
      <c r="O222" s="5">
        <v>2254.765238933679</v>
      </c>
      <c r="P222">
        <v>2150.3364443145051</v>
      </c>
      <c r="Q222" s="5">
        <v>2214.7131683741891</v>
      </c>
      <c r="R222" s="5">
        <v>2235.11083984375</v>
      </c>
      <c r="S222" s="5">
        <v>2461.343505859375</v>
      </c>
      <c r="T222" s="5">
        <v>2453.8233677979511</v>
      </c>
      <c r="U222" s="5">
        <v>2487.0353254791821</v>
      </c>
      <c r="V222" s="5">
        <v>2179.5283184671885</v>
      </c>
      <c r="W222" s="5">
        <v>2314.9955936135111</v>
      </c>
      <c r="X222" s="5">
        <v>2289.4992940901288</v>
      </c>
      <c r="Y222" s="5">
        <v>1829.643895085386</v>
      </c>
    </row>
    <row r="223" spans="1:25">
      <c r="A223">
        <v>63.5</v>
      </c>
      <c r="B223">
        <v>1.6</v>
      </c>
      <c r="C223">
        <v>250</v>
      </c>
      <c r="D223">
        <v>48.56</v>
      </c>
      <c r="E223">
        <v>5.5118110236220472</v>
      </c>
      <c r="F223">
        <v>212.35</v>
      </c>
      <c r="G223" s="35">
        <v>206.02529352981091</v>
      </c>
      <c r="H223" s="5">
        <v>-1604.5300230720161</v>
      </c>
      <c r="I223" s="5">
        <v>-1604.529744682995</v>
      </c>
      <c r="J223" s="5">
        <v>-1604.5280456597261</v>
      </c>
      <c r="K223" s="5">
        <v>263.50625000000002</v>
      </c>
      <c r="L223" s="5">
        <v>203.51696794871981</v>
      </c>
      <c r="M223" s="5">
        <v>209.43247572815491</v>
      </c>
      <c r="N223" s="5">
        <v>203.63364153431701</v>
      </c>
      <c r="O223" s="5">
        <v>209.54986444080731</v>
      </c>
      <c r="P223">
        <v>207.3258654584117</v>
      </c>
      <c r="Q223" s="5">
        <v>198.88000000000011</v>
      </c>
      <c r="R223" s="5">
        <v>212.8371887207031</v>
      </c>
      <c r="S223" s="5">
        <v>257.8819580078125</v>
      </c>
      <c r="T223" s="5">
        <v>281.99574575632403</v>
      </c>
      <c r="U223" s="5">
        <v>264.68965073661752</v>
      </c>
      <c r="V223" s="5">
        <v>227.20085092017268</v>
      </c>
      <c r="W223" s="5">
        <v>263.60639823135915</v>
      </c>
      <c r="X223" s="5">
        <v>228.78736908813929</v>
      </c>
      <c r="Y223" s="5">
        <v>204.59209138126189</v>
      </c>
    </row>
    <row r="224" spans="1:25">
      <c r="A224">
        <v>219</v>
      </c>
      <c r="B224">
        <v>4.72</v>
      </c>
      <c r="C224">
        <v>350</v>
      </c>
      <c r="D224">
        <v>27.34046677982689</v>
      </c>
      <c r="E224">
        <v>2.968036529680365</v>
      </c>
      <c r="F224">
        <v>3350</v>
      </c>
      <c r="G224" s="35">
        <v>3349.6152727773529</v>
      </c>
      <c r="H224" s="5">
        <v>4110.43677589873</v>
      </c>
      <c r="I224" s="5">
        <v>4110.4365778910978</v>
      </c>
      <c r="J224" s="5">
        <v>4110.4540999184428</v>
      </c>
      <c r="K224" s="5">
        <v>3142.636363636364</v>
      </c>
      <c r="L224" s="5">
        <v>3173.554570725993</v>
      </c>
      <c r="M224" s="5">
        <v>3320.6618122977338</v>
      </c>
      <c r="N224" s="5">
        <v>3270.1252801674568</v>
      </c>
      <c r="O224" s="5">
        <v>3304.779614429629</v>
      </c>
      <c r="P224">
        <v>3176.2082981677841</v>
      </c>
      <c r="Q224" s="5">
        <v>3101.9636128390271</v>
      </c>
      <c r="R224" s="5">
        <v>3406.760986328125</v>
      </c>
      <c r="S224" s="5">
        <v>2990.80859375</v>
      </c>
      <c r="T224" s="5">
        <v>2744.7638388697978</v>
      </c>
      <c r="U224" s="5">
        <v>2744.594450505142</v>
      </c>
      <c r="V224" s="5">
        <v>2417.4670662594963</v>
      </c>
      <c r="W224" s="5">
        <v>2392.495514551309</v>
      </c>
      <c r="Y224" s="5">
        <v>1994.3229306370899</v>
      </c>
    </row>
    <row r="225" spans="1:25">
      <c r="A225">
        <v>131</v>
      </c>
      <c r="B225">
        <v>4</v>
      </c>
      <c r="C225">
        <v>306</v>
      </c>
      <c r="D225">
        <v>61.12</v>
      </c>
      <c r="E225">
        <v>3</v>
      </c>
      <c r="F225">
        <v>1542</v>
      </c>
      <c r="G225" s="35">
        <v>1471.286230429547</v>
      </c>
      <c r="H225" s="5">
        <v>1456.917326814601</v>
      </c>
      <c r="I225" s="5">
        <v>1456.917547530551</v>
      </c>
      <c r="J225" s="5">
        <v>1456.942559980155</v>
      </c>
      <c r="K225" s="5">
        <v>1398.333333333333</v>
      </c>
      <c r="L225" s="5">
        <v>1493.6515747399601</v>
      </c>
      <c r="M225" s="5">
        <v>1511.837297734628</v>
      </c>
      <c r="N225" s="5">
        <v>1489.317367859371</v>
      </c>
      <c r="O225" s="5">
        <v>1592.3248428998211</v>
      </c>
      <c r="P225">
        <v>1514.7919156541191</v>
      </c>
      <c r="Q225" s="5">
        <v>1405.8860663483949</v>
      </c>
      <c r="R225" s="5">
        <v>1556.973388671875</v>
      </c>
      <c r="S225" s="5">
        <v>1627.6453857421875</v>
      </c>
      <c r="T225" s="5">
        <v>1585.9782330942205</v>
      </c>
      <c r="U225" s="5">
        <v>1517.3794499147909</v>
      </c>
      <c r="V225" s="5">
        <v>1310.2917188598299</v>
      </c>
      <c r="W225" s="5">
        <v>1467.750963532319</v>
      </c>
      <c r="Y225" s="5">
        <v>1169.012574009857</v>
      </c>
    </row>
    <row r="226" spans="1:25">
      <c r="A226">
        <v>121</v>
      </c>
      <c r="B226">
        <v>12</v>
      </c>
      <c r="C226">
        <v>294.1995</v>
      </c>
      <c r="D226">
        <v>13.0232312</v>
      </c>
      <c r="E226">
        <v>1.6528925619834709</v>
      </c>
      <c r="F226">
        <v>2843.928508305281</v>
      </c>
      <c r="G226" s="35">
        <v>2745.8620080188921</v>
      </c>
      <c r="H226" s="5">
        <v>2659.5160873480122</v>
      </c>
      <c r="I226" s="5">
        <v>2659.5170758231261</v>
      </c>
      <c r="J226" s="5">
        <v>2659.5634479428322</v>
      </c>
      <c r="K226" s="5">
        <v>2353.2301586749072</v>
      </c>
      <c r="L226" s="5">
        <v>2651.0625868299021</v>
      </c>
      <c r="M226" s="5">
        <v>2745.8620080188862</v>
      </c>
      <c r="N226" s="5">
        <v>2665.2504221315339</v>
      </c>
      <c r="O226" s="5">
        <v>2757.9404872043842</v>
      </c>
      <c r="P226">
        <v>2793.0860626160902</v>
      </c>
      <c r="Q226" s="5">
        <v>2484.3365931357848</v>
      </c>
      <c r="R226" s="5">
        <v>2744.343994140625</v>
      </c>
      <c r="S226" s="5">
        <v>2792.59375</v>
      </c>
      <c r="T226" s="5">
        <v>2688.1864491306142</v>
      </c>
      <c r="U226" s="5">
        <v>2054.6985704759595</v>
      </c>
      <c r="V226" s="5">
        <v>1858.5382870664271</v>
      </c>
      <c r="W226" s="5">
        <v>1478.9412183080824</v>
      </c>
    </row>
    <row r="227" spans="1:25">
      <c r="A227">
        <v>101.4</v>
      </c>
      <c r="B227">
        <v>3.03</v>
      </c>
      <c r="C227">
        <v>371</v>
      </c>
      <c r="D227">
        <v>23.2</v>
      </c>
      <c r="E227">
        <v>3.0078895463510849</v>
      </c>
      <c r="F227">
        <v>660</v>
      </c>
      <c r="G227" s="35">
        <v>645.25692262686312</v>
      </c>
      <c r="H227" s="5">
        <v>-75.480407034029213</v>
      </c>
      <c r="I227" s="5">
        <v>-75.479993502983234</v>
      </c>
      <c r="J227" s="5">
        <v>-75.437670574609456</v>
      </c>
      <c r="K227" s="5">
        <v>674</v>
      </c>
      <c r="L227" s="5">
        <v>649.86221535409049</v>
      </c>
      <c r="M227" s="5">
        <v>640.00370319001377</v>
      </c>
      <c r="N227" s="5">
        <v>665.05084912672942</v>
      </c>
      <c r="O227" s="5">
        <v>661.29829794998045</v>
      </c>
      <c r="P227">
        <v>624.33318714610232</v>
      </c>
      <c r="Q227" s="5">
        <v>722.45538699695146</v>
      </c>
      <c r="R227" s="5">
        <v>603.041015625</v>
      </c>
      <c r="S227" s="5">
        <v>695.3663330078125</v>
      </c>
      <c r="T227" s="5">
        <v>790.64849337016949</v>
      </c>
      <c r="U227" s="5">
        <v>728.41291730450507</v>
      </c>
      <c r="V227" s="5">
        <v>651.35099421417044</v>
      </c>
      <c r="W227" s="5">
        <v>625.48563547017488</v>
      </c>
      <c r="Y227" s="5">
        <v>501.40487377887803</v>
      </c>
    </row>
    <row r="228" spans="1:25">
      <c r="A228">
        <v>265</v>
      </c>
      <c r="B228">
        <v>4.75</v>
      </c>
      <c r="C228">
        <v>323.39999999999998</v>
      </c>
      <c r="D228">
        <v>21.9</v>
      </c>
      <c r="E228">
        <v>3.0641509433962271</v>
      </c>
      <c r="F228">
        <v>3789</v>
      </c>
      <c r="G228" s="35">
        <v>3529.9460837307138</v>
      </c>
      <c r="H228" s="5">
        <v>5423.194390567538</v>
      </c>
      <c r="I228" s="5">
        <v>5423.1939490928589</v>
      </c>
      <c r="J228" s="5">
        <v>5423.2097789709078</v>
      </c>
      <c r="K228" s="5">
        <v>3181.5183552900662</v>
      </c>
      <c r="L228" s="5">
        <v>3649.9189015770862</v>
      </c>
      <c r="M228" s="5">
        <v>3613.718023497669</v>
      </c>
      <c r="N228" s="5">
        <v>4076.6025462676039</v>
      </c>
      <c r="O228" s="5">
        <v>3622.5031436339959</v>
      </c>
      <c r="P228">
        <v>4009.3383353801219</v>
      </c>
      <c r="Q228" s="5">
        <v>3359.050718996778</v>
      </c>
      <c r="R228" s="5">
        <v>3675.467041015625</v>
      </c>
      <c r="S228" s="5">
        <v>3384.982666015625</v>
      </c>
      <c r="T228" s="5">
        <v>3198.3731745488112</v>
      </c>
      <c r="U228" s="5">
        <v>3157.482482085662</v>
      </c>
      <c r="V228" s="5">
        <v>2777.4799467138118</v>
      </c>
      <c r="W228" s="5">
        <v>2496.5657954257049</v>
      </c>
      <c r="Y228" s="5">
        <v>2307.0217235229052</v>
      </c>
    </row>
    <row r="229" spans="1:25">
      <c r="A229">
        <v>108</v>
      </c>
      <c r="B229">
        <v>4.5</v>
      </c>
      <c r="C229">
        <v>409.64</v>
      </c>
      <c r="D229">
        <v>28.6</v>
      </c>
      <c r="E229">
        <v>3.1481481481481479</v>
      </c>
      <c r="F229">
        <v>1161.3</v>
      </c>
      <c r="G229" s="35">
        <v>1205.8900000000001</v>
      </c>
      <c r="H229" s="5">
        <v>814.69485459578141</v>
      </c>
      <c r="I229" s="5">
        <v>814.69523255320928</v>
      </c>
      <c r="J229" s="5">
        <v>814.71447158333717</v>
      </c>
      <c r="K229" s="5">
        <v>1094.2</v>
      </c>
      <c r="L229" s="5">
        <v>1214.5204203700839</v>
      </c>
      <c r="M229" s="5">
        <v>1218.927168284788</v>
      </c>
      <c r="N229" s="5">
        <v>1243.491468955455</v>
      </c>
      <c r="O229" s="5">
        <v>1282.4233003819261</v>
      </c>
      <c r="P229">
        <v>1244.921677578177</v>
      </c>
      <c r="Q229" s="5">
        <v>1416.805305312638</v>
      </c>
      <c r="R229" s="5">
        <v>1295.251342773438</v>
      </c>
      <c r="S229" s="5">
        <v>1232.69287109375</v>
      </c>
      <c r="T229" s="5">
        <v>1194.7785945118942</v>
      </c>
      <c r="U229" s="5">
        <v>1191.1558234828958</v>
      </c>
      <c r="V229" s="5">
        <v>1069.6086191103561</v>
      </c>
      <c r="W229" s="5">
        <v>1008.4729192276545</v>
      </c>
      <c r="X229" s="5">
        <v>1054.904472159659</v>
      </c>
      <c r="Y229" s="5">
        <v>802.13647417951256</v>
      </c>
    </row>
    <row r="230" spans="1:25">
      <c r="A230">
        <v>142</v>
      </c>
      <c r="B230">
        <v>4.3</v>
      </c>
      <c r="C230">
        <v>433</v>
      </c>
      <c r="D230">
        <v>54.208344013043529</v>
      </c>
      <c r="E230">
        <v>2.950704225352113</v>
      </c>
      <c r="F230">
        <v>1500</v>
      </c>
      <c r="G230" s="35">
        <v>1526.328153921316</v>
      </c>
      <c r="H230" s="5">
        <v>2306.7784096726509</v>
      </c>
      <c r="I230" s="5">
        <v>2306.7785024733512</v>
      </c>
      <c r="J230" s="5">
        <v>2306.767874507927</v>
      </c>
      <c r="K230" s="5">
        <v>1645.1923076923081</v>
      </c>
      <c r="L230" s="5">
        <v>1661.2742445040169</v>
      </c>
      <c r="M230" s="5">
        <v>1515.2850458468181</v>
      </c>
      <c r="N230" s="5">
        <v>1638.262056189285</v>
      </c>
      <c r="O230" s="5">
        <v>1538.7458139804439</v>
      </c>
      <c r="P230">
        <v>1580.0577513004239</v>
      </c>
      <c r="Q230" s="5">
        <v>1807.0659558825309</v>
      </c>
      <c r="R230" s="5">
        <v>1498.515258789062</v>
      </c>
      <c r="S230" s="5">
        <v>1764.390869140625</v>
      </c>
      <c r="T230" s="5">
        <v>2060.1037311758441</v>
      </c>
      <c r="U230" s="5">
        <v>2062.4820927400415</v>
      </c>
      <c r="V230" s="5">
        <v>1809.0085191610067</v>
      </c>
      <c r="W230" s="5">
        <v>1928.6464275370759</v>
      </c>
      <c r="X230" s="5">
        <v>1882.291805611801</v>
      </c>
      <c r="Y230" s="5">
        <v>1512.0973429599419</v>
      </c>
    </row>
    <row r="231" spans="1:25">
      <c r="A231">
        <v>474</v>
      </c>
      <c r="B231">
        <v>7.42</v>
      </c>
      <c r="C231">
        <v>317</v>
      </c>
      <c r="D231">
        <v>73.2</v>
      </c>
      <c r="E231">
        <v>2</v>
      </c>
      <c r="F231">
        <v>17885</v>
      </c>
      <c r="G231" s="35">
        <v>18491.54433652063</v>
      </c>
      <c r="H231" s="5">
        <v>13503.27780234527</v>
      </c>
      <c r="I231" s="5">
        <v>13503.27617926976</v>
      </c>
      <c r="J231" s="5">
        <v>13503.21825031078</v>
      </c>
      <c r="K231" s="5">
        <v>24981</v>
      </c>
      <c r="L231" s="5">
        <v>17056.522239010988</v>
      </c>
      <c r="M231" s="5">
        <v>17286.99802589526</v>
      </c>
      <c r="N231" s="5">
        <v>17617.77975205789</v>
      </c>
      <c r="O231" s="5">
        <v>24397.76879370922</v>
      </c>
      <c r="P231">
        <v>17833.519372856739</v>
      </c>
      <c r="Q231" s="5">
        <v>15826.999999999991</v>
      </c>
      <c r="R231" s="5">
        <v>17123.40234375</v>
      </c>
      <c r="S231" s="5">
        <v>18335.3125</v>
      </c>
      <c r="T231" s="5">
        <v>17424.772207056063</v>
      </c>
      <c r="U231" s="5">
        <v>17706.136430741499</v>
      </c>
      <c r="V231" s="5">
        <v>14857.006278679282</v>
      </c>
    </row>
    <row r="232" spans="1:25">
      <c r="A232">
        <v>115.02</v>
      </c>
      <c r="B232">
        <v>5.0199999999999996</v>
      </c>
      <c r="C232">
        <v>365</v>
      </c>
      <c r="D232">
        <v>46.080000000000013</v>
      </c>
      <c r="E232">
        <v>2.612589114936533</v>
      </c>
      <c r="F232">
        <v>1413</v>
      </c>
      <c r="G232" s="35">
        <v>1174.0695054520311</v>
      </c>
      <c r="H232" s="5">
        <v>1307.357181744791</v>
      </c>
      <c r="I232" s="5">
        <v>1307.3575626486811</v>
      </c>
      <c r="J232" s="5">
        <v>1307.3624717837599</v>
      </c>
      <c r="K232" s="5">
        <v>1381.2628091428569</v>
      </c>
      <c r="L232" s="5">
        <v>1362.0430221997849</v>
      </c>
      <c r="M232" s="5">
        <v>1366.124043064623</v>
      </c>
      <c r="N232" s="5">
        <v>1503.6466768311061</v>
      </c>
      <c r="O232" s="5">
        <v>1359.410152060588</v>
      </c>
      <c r="P232">
        <v>1410.448822999605</v>
      </c>
      <c r="Q232" s="5">
        <v>1464.603405727371</v>
      </c>
      <c r="R232" s="5">
        <v>1388.39501953125</v>
      </c>
      <c r="S232" s="5">
        <v>1320.808837890625</v>
      </c>
      <c r="T232" s="5">
        <v>1482.4243001005916</v>
      </c>
      <c r="U232" s="5">
        <v>1424.6352384611941</v>
      </c>
      <c r="V232" s="5">
        <v>1262.6598362503942</v>
      </c>
      <c r="W232" s="5">
        <v>1300.6748305287165</v>
      </c>
      <c r="X232" s="5">
        <v>1314.542104700088</v>
      </c>
      <c r="Y232" s="5">
        <v>1006.498108640151</v>
      </c>
    </row>
    <row r="233" spans="1:25">
      <c r="A233">
        <v>115.9</v>
      </c>
      <c r="B233">
        <v>4.9000000000000004</v>
      </c>
      <c r="C233">
        <v>309.5</v>
      </c>
      <c r="D233">
        <v>42.7</v>
      </c>
      <c r="E233">
        <v>3.071613459879206</v>
      </c>
      <c r="F233">
        <v>1122</v>
      </c>
      <c r="G233" s="35">
        <v>1209.58827340942</v>
      </c>
      <c r="H233" s="5">
        <v>1043.0309508831581</v>
      </c>
      <c r="I233" s="5">
        <v>1043.0313386856139</v>
      </c>
      <c r="J233" s="5">
        <v>1043.0589979501631</v>
      </c>
      <c r="K233" s="5">
        <v>1104.8307007064259</v>
      </c>
      <c r="L233" s="5">
        <v>1157.344131018923</v>
      </c>
      <c r="M233" s="5">
        <v>1232.3259391715801</v>
      </c>
      <c r="N233" s="5">
        <v>1272.2945504760489</v>
      </c>
      <c r="O233" s="5">
        <v>1246.609125564391</v>
      </c>
      <c r="P233">
        <v>1253.0307929896751</v>
      </c>
      <c r="Q233" s="5">
        <v>1230.550565811576</v>
      </c>
      <c r="R233" s="5">
        <v>1213.340209960938</v>
      </c>
      <c r="S233" s="5">
        <v>1199.9971923828125</v>
      </c>
      <c r="T233" s="5">
        <v>1286.2429065534948</v>
      </c>
      <c r="U233" s="5">
        <v>1234.2586730817241</v>
      </c>
      <c r="V233" s="5">
        <v>1090.2781856712563</v>
      </c>
      <c r="W233" s="5">
        <v>1140.9698577749632</v>
      </c>
      <c r="X233" s="5">
        <v>1125.8729401258231</v>
      </c>
      <c r="Y233" s="5">
        <v>881.46439724545326</v>
      </c>
    </row>
    <row r="234" spans="1:25">
      <c r="A234">
        <v>200</v>
      </c>
      <c r="B234">
        <v>6</v>
      </c>
      <c r="C234">
        <v>451</v>
      </c>
      <c r="D234">
        <v>38</v>
      </c>
      <c r="E234">
        <v>3.4750000000000001</v>
      </c>
      <c r="F234">
        <v>3503</v>
      </c>
      <c r="G234" s="35">
        <v>4258.3467910911158</v>
      </c>
      <c r="H234" s="5">
        <v>4431.940087203513</v>
      </c>
      <c r="I234" s="5">
        <v>4431.9398807694697</v>
      </c>
      <c r="J234" s="5">
        <v>4431.9079585057261</v>
      </c>
      <c r="K234" s="5">
        <v>4184.8835822559413</v>
      </c>
      <c r="L234" s="5">
        <v>3882.5490169739728</v>
      </c>
      <c r="M234" s="5">
        <v>3375.7195900693118</v>
      </c>
      <c r="N234" s="5">
        <v>3272.8150926946619</v>
      </c>
      <c r="O234" s="5">
        <v>3262.717982119008</v>
      </c>
      <c r="P234">
        <v>3202.151571995309</v>
      </c>
      <c r="Q234" s="5">
        <v>2808.302908028591</v>
      </c>
      <c r="R234" s="5">
        <v>3384.50390625</v>
      </c>
      <c r="S234" s="5">
        <v>3387.6015625</v>
      </c>
      <c r="T234" s="5">
        <v>3475.0619413303466</v>
      </c>
      <c r="U234" s="5">
        <v>3726.5876163050989</v>
      </c>
      <c r="V234" s="5">
        <v>3306.9899129088903</v>
      </c>
      <c r="W234" s="5">
        <v>3263.0206161602955</v>
      </c>
      <c r="X234" s="5">
        <v>3279.0742502407802</v>
      </c>
      <c r="Y234" s="5">
        <v>2621.886760417628</v>
      </c>
    </row>
    <row r="235" spans="1:25">
      <c r="A235">
        <v>180</v>
      </c>
      <c r="B235">
        <v>1.49</v>
      </c>
      <c r="C235">
        <v>222.7</v>
      </c>
      <c r="D235">
        <v>26.792000000000002</v>
      </c>
      <c r="E235">
        <v>3.083333333333333</v>
      </c>
      <c r="F235">
        <v>1287</v>
      </c>
      <c r="G235" s="35">
        <v>877.8947764553194</v>
      </c>
      <c r="H235" s="5">
        <v>1622.588614882606</v>
      </c>
      <c r="I235" s="5">
        <v>1622.5885635279481</v>
      </c>
      <c r="J235" s="5">
        <v>1622.667427126557</v>
      </c>
      <c r="K235" s="5">
        <v>1437.82</v>
      </c>
      <c r="L235" s="5">
        <v>1508.052986284056</v>
      </c>
      <c r="M235" s="5">
        <v>1474.1341550454649</v>
      </c>
      <c r="N235" s="5">
        <v>1498.2188779170499</v>
      </c>
      <c r="O235" s="5">
        <v>1568.013615667762</v>
      </c>
      <c r="P235">
        <v>1398.1906412260071</v>
      </c>
      <c r="Q235" s="5">
        <v>1546.205836424768</v>
      </c>
      <c r="R235" s="5">
        <v>1667.053955078125</v>
      </c>
      <c r="S235" s="5">
        <v>1085.862060546875</v>
      </c>
      <c r="T235" s="5">
        <v>1111.8198349136462</v>
      </c>
      <c r="U235" s="5">
        <v>960.84888417573279</v>
      </c>
      <c r="V235" s="5">
        <v>806.32627295856128</v>
      </c>
      <c r="W235" s="5">
        <v>817.81188813648066</v>
      </c>
      <c r="Y235" s="5">
        <v>805.9432426643292</v>
      </c>
    </row>
    <row r="236" spans="1:25">
      <c r="A236">
        <v>96</v>
      </c>
      <c r="B236">
        <v>5</v>
      </c>
      <c r="C236">
        <v>410.89863500000001</v>
      </c>
      <c r="D236">
        <v>10.093004179999999</v>
      </c>
      <c r="E236">
        <v>4.270833333333333</v>
      </c>
      <c r="F236">
        <v>912.01845266341775</v>
      </c>
      <c r="G236" s="35">
        <v>980.28110681492558</v>
      </c>
      <c r="H236" s="5">
        <v>353.19546823450628</v>
      </c>
      <c r="I236" s="5">
        <v>353.19589415431392</v>
      </c>
      <c r="J236" s="5">
        <v>353.21075631836948</v>
      </c>
      <c r="K236" s="5">
        <v>1020.338843208992</v>
      </c>
      <c r="L236" s="5">
        <v>946.16012510671408</v>
      </c>
      <c r="M236" s="5">
        <v>904.95148707075703</v>
      </c>
      <c r="N236" s="5">
        <v>975.52840780097313</v>
      </c>
      <c r="O236" s="5">
        <v>845.42859537222444</v>
      </c>
      <c r="P236">
        <v>883.99091342313591</v>
      </c>
      <c r="Q236" s="5">
        <v>997.07623660702438</v>
      </c>
      <c r="R236" s="5">
        <v>825.556884765625</v>
      </c>
      <c r="S236" s="5">
        <v>936</v>
      </c>
      <c r="T236" s="5">
        <v>983.50819083292117</v>
      </c>
      <c r="U236" s="5">
        <v>1010.1330889913577</v>
      </c>
      <c r="V236" s="5">
        <v>920.8724497264642</v>
      </c>
    </row>
    <row r="237" spans="1:25">
      <c r="A237">
        <v>219</v>
      </c>
      <c r="B237">
        <v>4.7300000000000004</v>
      </c>
      <c r="C237">
        <v>350</v>
      </c>
      <c r="D237">
        <v>34.1</v>
      </c>
      <c r="E237">
        <v>2.968036529680365</v>
      </c>
      <c r="F237">
        <v>3150</v>
      </c>
      <c r="G237" s="35">
        <v>3158.9785705244049</v>
      </c>
      <c r="H237" s="5">
        <v>4305.8361394075609</v>
      </c>
      <c r="I237" s="5">
        <v>4305.8359196735464</v>
      </c>
      <c r="J237" s="5">
        <v>4305.8496738705799</v>
      </c>
      <c r="K237" s="5">
        <v>3196.1</v>
      </c>
      <c r="L237" s="5">
        <v>3200.6037198635072</v>
      </c>
      <c r="M237" s="5">
        <v>3134.8785067535869</v>
      </c>
      <c r="N237" s="5">
        <v>2941.6446259616869</v>
      </c>
      <c r="O237" s="5">
        <v>3063.7942426135978</v>
      </c>
      <c r="P237">
        <v>2996.112208536033</v>
      </c>
      <c r="Q237" s="5">
        <v>3092.940587307191</v>
      </c>
      <c r="R237" s="5">
        <v>3187.912353515625</v>
      </c>
      <c r="S237" s="5">
        <v>3117.00732421875</v>
      </c>
      <c r="T237" s="5">
        <v>2921.3794516731532</v>
      </c>
      <c r="U237" s="5">
        <v>2981.246171669563</v>
      </c>
      <c r="V237" s="5">
        <v>2607.2365622817874</v>
      </c>
      <c r="W237" s="5">
        <v>2674.7973449101373</v>
      </c>
      <c r="X237" s="5">
        <v>2794.208843482545</v>
      </c>
      <c r="Y237" s="5">
        <v>2215.3117936565909</v>
      </c>
    </row>
    <row r="238" spans="1:25">
      <c r="A238">
        <v>219.1</v>
      </c>
      <c r="B238">
        <v>6.3</v>
      </c>
      <c r="C238">
        <v>300</v>
      </c>
      <c r="D238">
        <v>158.11000000000001</v>
      </c>
      <c r="E238">
        <v>2.7384755819260609</v>
      </c>
      <c r="F238">
        <v>6915</v>
      </c>
      <c r="G238" s="35">
        <v>7509.9281783626402</v>
      </c>
      <c r="H238" s="5">
        <v>6560.0491212460684</v>
      </c>
      <c r="I238" s="5">
        <v>6560.0486000460423</v>
      </c>
      <c r="J238" s="5">
        <v>6559.9643082552693</v>
      </c>
      <c r="K238" s="5">
        <v>7403.375</v>
      </c>
      <c r="L238" s="5">
        <v>7508.494825552747</v>
      </c>
      <c r="M238" s="5">
        <v>7569</v>
      </c>
      <c r="N238" s="5">
        <v>7354.9416879238734</v>
      </c>
      <c r="O238" s="5">
        <v>7543.37037256038</v>
      </c>
      <c r="P238">
        <v>7618.3013906879733</v>
      </c>
      <c r="Q238" s="5">
        <v>7342.690092229037</v>
      </c>
      <c r="R238" s="5">
        <v>7375.19091796875</v>
      </c>
      <c r="S238" s="5">
        <v>7455.8408203125</v>
      </c>
      <c r="T238" s="5">
        <v>7248.0056097591132</v>
      </c>
      <c r="U238" s="5">
        <v>7114.7586524138724</v>
      </c>
      <c r="V238" s="5">
        <v>6123.6669038470654</v>
      </c>
    </row>
    <row r="239" spans="1:25">
      <c r="A239">
        <v>200</v>
      </c>
      <c r="B239">
        <v>6</v>
      </c>
      <c r="C239">
        <v>451</v>
      </c>
      <c r="D239">
        <v>80.5</v>
      </c>
      <c r="E239">
        <v>3.4750000000000001</v>
      </c>
      <c r="F239">
        <v>4423</v>
      </c>
      <c r="G239" s="35">
        <v>4463</v>
      </c>
      <c r="H239" s="5">
        <v>5112.160323728478</v>
      </c>
      <c r="I239" s="5">
        <v>5112.1600066895462</v>
      </c>
      <c r="J239" s="5">
        <v>5112.1097289230729</v>
      </c>
      <c r="K239" s="5">
        <v>4521.24</v>
      </c>
      <c r="L239" s="5">
        <v>4578.7176264419204</v>
      </c>
      <c r="M239" s="5">
        <v>4463</v>
      </c>
      <c r="N239" s="5">
        <v>4237.4494215711484</v>
      </c>
      <c r="O239" s="5">
        <v>4412.4222481531979</v>
      </c>
      <c r="P239">
        <v>4572.8218984903506</v>
      </c>
      <c r="Q239" s="5">
        <v>4462.9999999999982</v>
      </c>
      <c r="R239" s="5">
        <v>4473.0791015625</v>
      </c>
      <c r="S239" s="5">
        <v>4487.5263671875</v>
      </c>
      <c r="T239" s="5">
        <v>4737.0661941908829</v>
      </c>
      <c r="U239" s="5">
        <v>4906.3499055076745</v>
      </c>
      <c r="V239" s="5">
        <v>4250.7997442709502</v>
      </c>
      <c r="W239" s="5">
        <v>4621.0830388987915</v>
      </c>
    </row>
    <row r="240" spans="1:25">
      <c r="A240">
        <v>114.3</v>
      </c>
      <c r="B240">
        <v>6</v>
      </c>
      <c r="C240">
        <v>342.95</v>
      </c>
      <c r="D240">
        <v>73.3</v>
      </c>
      <c r="E240">
        <v>3.00087489063867</v>
      </c>
      <c r="F240">
        <v>1361.6</v>
      </c>
      <c r="G240" s="35">
        <v>1568.8292839848491</v>
      </c>
      <c r="H240" s="5">
        <v>1819.4561555513851</v>
      </c>
      <c r="I240" s="5">
        <v>1819.4564591326041</v>
      </c>
      <c r="J240" s="5">
        <v>1819.4493956548979</v>
      </c>
      <c r="K240" s="5">
        <v>1492.422222222222</v>
      </c>
      <c r="L240" s="5">
        <v>1461.462156928005</v>
      </c>
      <c r="M240" s="5">
        <v>1355.6981553398059</v>
      </c>
      <c r="N240" s="5">
        <v>1562.956457003062</v>
      </c>
      <c r="O240" s="5">
        <v>1530.5704814748231</v>
      </c>
      <c r="P240">
        <v>1611.041476772235</v>
      </c>
      <c r="Q240" s="5">
        <v>1583.646590476656</v>
      </c>
      <c r="R240" s="5">
        <v>1447.791137695312</v>
      </c>
      <c r="S240" s="5">
        <v>1777.1976318359375</v>
      </c>
      <c r="T240" s="5">
        <v>1784.8001890903477</v>
      </c>
      <c r="U240" s="5">
        <v>1736.6462602761283</v>
      </c>
      <c r="V240" s="5">
        <v>1523.6542204733798</v>
      </c>
    </row>
    <row r="241" spans="1:25">
      <c r="A241">
        <v>190.7</v>
      </c>
      <c r="B241">
        <v>6</v>
      </c>
      <c r="C241">
        <v>505.04247500000002</v>
      </c>
      <c r="D241">
        <v>48.346784499999998</v>
      </c>
      <c r="E241">
        <v>6.0304142632406927</v>
      </c>
      <c r="F241">
        <v>3147.9346591930871</v>
      </c>
      <c r="G241" s="35">
        <v>3189.7746939083331</v>
      </c>
      <c r="H241" s="5">
        <v>4679.9231141446517</v>
      </c>
      <c r="I241" s="5">
        <v>4679.9225486049118</v>
      </c>
      <c r="J241" s="5">
        <v>4679.8077595055966</v>
      </c>
      <c r="K241" s="5">
        <v>2885.5468072914359</v>
      </c>
      <c r="L241" s="5">
        <v>3165.5010271698711</v>
      </c>
      <c r="M241" s="5">
        <v>3029.670252943481</v>
      </c>
      <c r="N241" s="5">
        <v>3025.3884213833721</v>
      </c>
      <c r="O241" s="5">
        <v>2997.3339221005681</v>
      </c>
      <c r="P241">
        <v>3116.5552681641152</v>
      </c>
      <c r="Q241" s="5">
        <v>3025.5845099729718</v>
      </c>
      <c r="R241" s="5">
        <v>2788.045166015625</v>
      </c>
      <c r="S241" s="5">
        <v>3152.618896484375</v>
      </c>
      <c r="T241" s="5">
        <v>3204.8525026592192</v>
      </c>
      <c r="U241" s="5">
        <v>3885.2034714193187</v>
      </c>
      <c r="V241" s="5">
        <v>3595.4866538954166</v>
      </c>
      <c r="W241" s="5">
        <v>3614.8238797092959</v>
      </c>
      <c r="Y241" s="5">
        <v>2802.0204021319091</v>
      </c>
    </row>
    <row r="242" spans="1:25">
      <c r="A242">
        <v>131</v>
      </c>
      <c r="B242">
        <v>4</v>
      </c>
      <c r="C242">
        <v>306</v>
      </c>
      <c r="D242">
        <v>52.960000000000008</v>
      </c>
      <c r="E242">
        <v>3</v>
      </c>
      <c r="F242">
        <v>1452</v>
      </c>
      <c r="G242" s="35">
        <v>1419.652862041678</v>
      </c>
      <c r="H242" s="5">
        <v>1384.4337635129571</v>
      </c>
      <c r="I242" s="5">
        <v>1384.433980788607</v>
      </c>
      <c r="J242" s="5">
        <v>1384.4613439465561</v>
      </c>
      <c r="K242" s="5">
        <v>1411.8571428571429</v>
      </c>
      <c r="L242" s="5">
        <v>1426.2939033279761</v>
      </c>
      <c r="M242" s="5">
        <v>1443.762017820367</v>
      </c>
      <c r="N242" s="5">
        <v>1412.2653744026061</v>
      </c>
      <c r="O242" s="5">
        <v>1401.871922687312</v>
      </c>
      <c r="P242">
        <v>1359.7924467723849</v>
      </c>
      <c r="Q242" s="5">
        <v>1417.2442789178781</v>
      </c>
      <c r="R242" s="5">
        <v>1431.244750976562</v>
      </c>
      <c r="S242" s="5">
        <v>1451.1512451171875</v>
      </c>
      <c r="T242" s="5">
        <v>1487.3471348312676</v>
      </c>
      <c r="U242" s="5">
        <v>1420.4199731922247</v>
      </c>
      <c r="V242" s="5">
        <v>1232.724137481777</v>
      </c>
      <c r="W242" s="5">
        <v>1369.0231766764659</v>
      </c>
      <c r="X242" s="5">
        <v>1323.9537616502839</v>
      </c>
      <c r="Y242" s="5">
        <v>1078.1027515631561</v>
      </c>
    </row>
    <row r="243" spans="1:25">
      <c r="A243">
        <v>166</v>
      </c>
      <c r="B243">
        <v>5</v>
      </c>
      <c r="C243">
        <v>277.33999999999997</v>
      </c>
      <c r="D243">
        <v>42.24</v>
      </c>
      <c r="E243">
        <v>4.2771084337349397</v>
      </c>
      <c r="F243">
        <v>1906.1</v>
      </c>
      <c r="G243" s="35">
        <v>1819.666666666667</v>
      </c>
      <c r="H243" s="5">
        <v>2568.0166075909242</v>
      </c>
      <c r="I243" s="5">
        <v>2568.0166028510239</v>
      </c>
      <c r="J243" s="5">
        <v>2568.014053200634</v>
      </c>
      <c r="K243" s="5">
        <v>1735.2308288499221</v>
      </c>
      <c r="L243" s="5">
        <v>1898.8098682039511</v>
      </c>
      <c r="M243" s="5">
        <v>1850.4300744489369</v>
      </c>
      <c r="N243" s="5">
        <v>1802.6381300597079</v>
      </c>
      <c r="O243" s="5">
        <v>1757.883738303173</v>
      </c>
      <c r="P243">
        <v>1822.3802193227559</v>
      </c>
      <c r="Q243" s="5">
        <v>1803.0492448071011</v>
      </c>
      <c r="R243" s="5">
        <v>1895.807983398438</v>
      </c>
      <c r="S243" s="5">
        <v>1848.55712890625</v>
      </c>
      <c r="T243" s="5">
        <v>1967.0982486172791</v>
      </c>
      <c r="U243" s="5">
        <v>1943.6005001829703</v>
      </c>
      <c r="V243" s="5">
        <v>1693.3839432974451</v>
      </c>
      <c r="W243" s="5">
        <v>1835.7338225072235</v>
      </c>
      <c r="X243" s="5">
        <v>1725.755334322532</v>
      </c>
      <c r="Y243" s="5">
        <v>1448.899755624722</v>
      </c>
    </row>
    <row r="244" spans="1:25">
      <c r="A244">
        <v>219</v>
      </c>
      <c r="B244">
        <v>3.8</v>
      </c>
      <c r="C244">
        <v>373</v>
      </c>
      <c r="D244">
        <v>46.763208585700767</v>
      </c>
      <c r="E244">
        <v>4</v>
      </c>
      <c r="F244">
        <v>3453</v>
      </c>
      <c r="G244" s="35">
        <v>3142.320778930371</v>
      </c>
      <c r="H244" s="5">
        <v>4398.2949887570812</v>
      </c>
      <c r="I244" s="5">
        <v>4398.2945312746797</v>
      </c>
      <c r="J244" s="5">
        <v>4398.2747593334643</v>
      </c>
      <c r="K244" s="5">
        <v>3066.454545454545</v>
      </c>
      <c r="L244" s="5">
        <v>3130.6486684767979</v>
      </c>
      <c r="M244" s="5">
        <v>3454.4922330097088</v>
      </c>
      <c r="N244" s="5">
        <v>3303.861567879007</v>
      </c>
      <c r="O244" s="5">
        <v>3351.705122382567</v>
      </c>
      <c r="P244">
        <v>3420.654088872318</v>
      </c>
      <c r="Q244" s="5">
        <v>3154.905797543111</v>
      </c>
      <c r="R244" s="5">
        <v>3405.73779296875</v>
      </c>
      <c r="S244" s="5">
        <v>3338.22509765625</v>
      </c>
      <c r="T244" s="5">
        <v>2986.3835656960755</v>
      </c>
      <c r="U244" s="5">
        <v>3193.7466664314506</v>
      </c>
      <c r="V244" s="5">
        <v>2747.0014420786433</v>
      </c>
      <c r="W244" s="5">
        <v>2630.0115707099758</v>
      </c>
      <c r="X244" s="5">
        <v>2883.8114862170869</v>
      </c>
      <c r="Y244" s="5">
        <v>2476.945720460968</v>
      </c>
    </row>
    <row r="245" spans="1:25">
      <c r="A245">
        <v>204</v>
      </c>
      <c r="B245">
        <v>2</v>
      </c>
      <c r="C245">
        <v>235.4</v>
      </c>
      <c r="D245">
        <v>26.39538963236653</v>
      </c>
      <c r="E245">
        <v>4.117647058823529</v>
      </c>
      <c r="F245">
        <v>1692</v>
      </c>
      <c r="G245" s="35">
        <v>1587.592204274855</v>
      </c>
      <c r="H245" s="5">
        <v>2494.7850394030279</v>
      </c>
      <c r="I245" s="5">
        <v>2494.7848125590922</v>
      </c>
      <c r="J245" s="5">
        <v>2494.8160860036428</v>
      </c>
      <c r="K245" s="5">
        <v>1509.3215457818419</v>
      </c>
      <c r="L245" s="5">
        <v>1564.1593521982361</v>
      </c>
      <c r="M245" s="5">
        <v>1614.002523581682</v>
      </c>
      <c r="N245" s="5">
        <v>1387.045697910758</v>
      </c>
      <c r="O245" s="5">
        <v>1479.0468390815929</v>
      </c>
      <c r="P245">
        <v>1416.8323282644631</v>
      </c>
      <c r="Q245" s="5">
        <v>1494.985203326826</v>
      </c>
      <c r="R245" s="5">
        <v>1558.112915039062</v>
      </c>
      <c r="S245" s="5">
        <v>1479.41455078125</v>
      </c>
      <c r="T245" s="5">
        <v>1320.4560967315408</v>
      </c>
      <c r="U245" s="5">
        <v>1313.2438119823378</v>
      </c>
      <c r="V245" s="5">
        <v>1110.9431411283283</v>
      </c>
      <c r="W245" s="5">
        <v>1103.3857904055856</v>
      </c>
      <c r="Y245" s="5">
        <v>1071.7353776070629</v>
      </c>
    </row>
    <row r="246" spans="1:25">
      <c r="A246">
        <v>47.28</v>
      </c>
      <c r="B246">
        <v>1.87</v>
      </c>
      <c r="C246">
        <v>360</v>
      </c>
      <c r="D246">
        <v>25.924647170115811</v>
      </c>
      <c r="E246">
        <v>7.1912013536379016</v>
      </c>
      <c r="F246">
        <v>190</v>
      </c>
      <c r="G246" s="35">
        <v>177.53994395888151</v>
      </c>
      <c r="H246" s="5">
        <v>-1806.724876278123</v>
      </c>
      <c r="I246" s="5">
        <v>-1806.724730986374</v>
      </c>
      <c r="J246" s="5">
        <v>-1806.7710223851441</v>
      </c>
      <c r="K246" s="5">
        <v>194.7692307692308</v>
      </c>
      <c r="L246" s="5">
        <v>172.71923076923079</v>
      </c>
      <c r="M246" s="5">
        <v>173.82524271844659</v>
      </c>
      <c r="N246" s="5">
        <v>193.20709242843569</v>
      </c>
      <c r="O246" s="5">
        <v>187.2290057585019</v>
      </c>
      <c r="P246">
        <v>178.37655970380499</v>
      </c>
      <c r="Q246" s="5">
        <v>171.78018740524419</v>
      </c>
      <c r="R246" s="5">
        <v>175.51031494140619</v>
      </c>
      <c r="S246" s="5">
        <v>156.70225524902344</v>
      </c>
      <c r="T246" s="5">
        <v>152.04294410587437</v>
      </c>
      <c r="U246" s="5">
        <v>194.18172459500997</v>
      </c>
      <c r="V246" s="5">
        <v>174.09200048403179</v>
      </c>
      <c r="W246" s="5">
        <v>166.24012929484721</v>
      </c>
      <c r="Y246" s="5">
        <v>127.8852812450252</v>
      </c>
    </row>
    <row r="247" spans="1:25">
      <c r="A247">
        <v>120</v>
      </c>
      <c r="B247">
        <v>2.5</v>
      </c>
      <c r="C247">
        <v>445.52</v>
      </c>
      <c r="D247">
        <v>41.44</v>
      </c>
      <c r="E247">
        <v>2.5</v>
      </c>
      <c r="F247">
        <v>879.2</v>
      </c>
      <c r="G247" s="35">
        <v>799.19565662978607</v>
      </c>
      <c r="H247" s="5">
        <v>918.90070106005101</v>
      </c>
      <c r="I247" s="5">
        <v>918.90092551371822</v>
      </c>
      <c r="J247" s="5">
        <v>918.91938029541006</v>
      </c>
      <c r="K247" s="5">
        <v>939.10714285714289</v>
      </c>
      <c r="L247" s="5">
        <v>1127.774381091911</v>
      </c>
      <c r="M247" s="5">
        <v>1113.2970135210351</v>
      </c>
      <c r="N247" s="5">
        <v>1047.869825152678</v>
      </c>
      <c r="O247" s="5">
        <v>1089.92389812545</v>
      </c>
      <c r="P247">
        <v>1139.463954481869</v>
      </c>
      <c r="Q247" s="5">
        <v>1161.8718910310211</v>
      </c>
      <c r="R247" s="5">
        <v>1010.784301757812</v>
      </c>
      <c r="S247" s="5">
        <v>734.5526123046875</v>
      </c>
      <c r="T247" s="5">
        <v>1169.3000938746295</v>
      </c>
      <c r="U247" s="5">
        <v>1096.487558663119</v>
      </c>
      <c r="V247" s="5">
        <v>959.25325251468303</v>
      </c>
      <c r="W247" s="5">
        <v>912.57604370783565</v>
      </c>
      <c r="X247" s="5">
        <v>1039.615580406846</v>
      </c>
      <c r="Y247" s="5">
        <v>814.92994243447072</v>
      </c>
    </row>
    <row r="248" spans="1:25">
      <c r="A248">
        <v>114.3</v>
      </c>
      <c r="B248">
        <v>2.74</v>
      </c>
      <c r="C248">
        <v>235</v>
      </c>
      <c r="D248">
        <v>107.2</v>
      </c>
      <c r="E248">
        <v>2.6246719160104992</v>
      </c>
      <c r="F248">
        <v>1295.06</v>
      </c>
      <c r="G248" s="35">
        <v>1321.430501928756</v>
      </c>
      <c r="H248" s="5">
        <v>1256.9596835697771</v>
      </c>
      <c r="I248" s="5">
        <v>1256.959889005522</v>
      </c>
      <c r="J248" s="5">
        <v>1256.977524907275</v>
      </c>
      <c r="K248" s="5">
        <v>1053.272857142857</v>
      </c>
      <c r="L248" s="5">
        <v>1288.0576784188081</v>
      </c>
      <c r="M248" s="5">
        <v>1333.158009708734</v>
      </c>
      <c r="N248" s="5">
        <v>1405.7650289551159</v>
      </c>
      <c r="O248" s="5">
        <v>1346.1071522006609</v>
      </c>
      <c r="P248">
        <v>1179.8195283090181</v>
      </c>
      <c r="Q248" s="5">
        <v>1288.866986586537</v>
      </c>
      <c r="R248" s="5">
        <v>1337.440673828125</v>
      </c>
      <c r="S248" s="5">
        <v>1220.39697265625</v>
      </c>
      <c r="T248" s="5">
        <v>1378.613114900357</v>
      </c>
      <c r="U248" s="5">
        <v>1321.9829843331725</v>
      </c>
      <c r="V248" s="5">
        <v>1134.9669316147313</v>
      </c>
    </row>
    <row r="249" spans="1:25">
      <c r="A249">
        <v>47.28</v>
      </c>
      <c r="B249">
        <v>1.87</v>
      </c>
      <c r="C249">
        <v>360</v>
      </c>
      <c r="D249">
        <v>31.891778952991078</v>
      </c>
      <c r="E249">
        <v>7.1912013536379016</v>
      </c>
      <c r="F249">
        <v>162</v>
      </c>
      <c r="G249" s="35">
        <v>216.44687405657089</v>
      </c>
      <c r="H249" s="5">
        <v>-1842.205142108726</v>
      </c>
      <c r="I249" s="5">
        <v>-1842.2049763593291</v>
      </c>
      <c r="J249" s="5">
        <v>-1842.2566099400019</v>
      </c>
      <c r="K249" s="5">
        <v>180.41</v>
      </c>
      <c r="L249" s="5">
        <v>219.69771474358981</v>
      </c>
      <c r="M249" s="5">
        <v>236.21359223300971</v>
      </c>
      <c r="N249" s="5">
        <v>189.78493295908731</v>
      </c>
      <c r="O249" s="5">
        <v>198.78295628842471</v>
      </c>
      <c r="P249">
        <v>197.89675153065349</v>
      </c>
      <c r="Q249" s="5">
        <v>214.99999999999989</v>
      </c>
      <c r="R249" s="5">
        <v>211.17926025390619</v>
      </c>
      <c r="S249" s="5">
        <v>254.14723205566406</v>
      </c>
      <c r="T249" s="5">
        <v>150.87227526716524</v>
      </c>
      <c r="U249" s="5">
        <v>203.0662116728237</v>
      </c>
      <c r="V249" s="5">
        <v>181.19959014628279</v>
      </c>
      <c r="W249" s="5">
        <v>179.4595882923802</v>
      </c>
      <c r="X249" s="5">
        <v>146.7435854923784</v>
      </c>
      <c r="Y249" s="5">
        <v>135.82217025072549</v>
      </c>
    </row>
    <row r="250" spans="1:25">
      <c r="A250">
        <v>63.5</v>
      </c>
      <c r="B250">
        <v>2</v>
      </c>
      <c r="C250">
        <v>250</v>
      </c>
      <c r="D250">
        <v>33.92</v>
      </c>
      <c r="E250">
        <v>5.5118110236220472</v>
      </c>
      <c r="F250">
        <v>181.34</v>
      </c>
      <c r="G250" s="35">
        <v>175.57515367167861</v>
      </c>
      <c r="H250" s="5">
        <v>-1724.1532972157229</v>
      </c>
      <c r="I250" s="5">
        <v>-1724.1529468547651</v>
      </c>
      <c r="J250" s="5">
        <v>-1724.141455408916</v>
      </c>
      <c r="K250" s="5">
        <v>263.50625000000002</v>
      </c>
      <c r="L250" s="5">
        <v>185.8600480769224</v>
      </c>
      <c r="M250" s="5">
        <v>182.21888956466009</v>
      </c>
      <c r="N250" s="5">
        <v>175.33573521046711</v>
      </c>
      <c r="O250" s="5">
        <v>179.69275724360099</v>
      </c>
      <c r="P250">
        <v>184.67354626296679</v>
      </c>
      <c r="Q250" s="5">
        <v>180.9142759763667</v>
      </c>
      <c r="R250" s="5">
        <v>179.39506530761719</v>
      </c>
      <c r="S250" s="5">
        <v>251.42970275878906</v>
      </c>
      <c r="T250" s="5">
        <v>294.83511123079461</v>
      </c>
      <c r="U250" s="5">
        <v>250.81319640164389</v>
      </c>
      <c r="V250" s="5">
        <v>219.69570045570515</v>
      </c>
      <c r="W250" s="5">
        <v>240.00384733818467</v>
      </c>
      <c r="X250" s="5">
        <v>212.00301050062109</v>
      </c>
      <c r="Y250" s="5">
        <v>182.65769957020191</v>
      </c>
    </row>
    <row r="251" spans="1:25">
      <c r="A251">
        <v>82.55</v>
      </c>
      <c r="B251">
        <v>1.397</v>
      </c>
      <c r="C251">
        <v>490</v>
      </c>
      <c r="D251">
        <v>41.5</v>
      </c>
      <c r="E251">
        <v>6.1538461538461542</v>
      </c>
      <c r="F251">
        <v>489.3</v>
      </c>
      <c r="G251" s="35">
        <v>653.6761526056755</v>
      </c>
      <c r="H251" s="5">
        <v>-266.52489344811102</v>
      </c>
      <c r="I251" s="5">
        <v>-266.52497541557108</v>
      </c>
      <c r="J251" s="5">
        <v>-266.58884910329061</v>
      </c>
      <c r="K251" s="5">
        <v>402.11015917333327</v>
      </c>
      <c r="L251" s="5">
        <v>500.869744982393</v>
      </c>
      <c r="M251" s="5">
        <v>501.19206108569568</v>
      </c>
      <c r="N251" s="5">
        <v>541.63331676972882</v>
      </c>
      <c r="O251" s="5">
        <v>548.56431988931092</v>
      </c>
      <c r="P251">
        <v>498.55736009739792</v>
      </c>
      <c r="Q251" s="5">
        <v>499.00000000000011</v>
      </c>
      <c r="R251" s="5">
        <v>463.99908447265619</v>
      </c>
      <c r="S251" s="5">
        <v>612.7947998046875</v>
      </c>
      <c r="T251" s="5">
        <v>503.95097414540407</v>
      </c>
      <c r="U251" s="5">
        <v>490.05475061409959</v>
      </c>
      <c r="V251" s="5">
        <v>427.0283390416605</v>
      </c>
      <c r="W251" s="5">
        <v>418.0182013040901</v>
      </c>
      <c r="Y251" s="5">
        <v>356.34811771018559</v>
      </c>
    </row>
    <row r="252" spans="1:25">
      <c r="A252">
        <v>89.32</v>
      </c>
      <c r="B252">
        <v>2.74</v>
      </c>
      <c r="C252">
        <v>360</v>
      </c>
      <c r="D252">
        <v>17.862792040136021</v>
      </c>
      <c r="E252">
        <v>3.8065382892969102</v>
      </c>
      <c r="F252">
        <v>557</v>
      </c>
      <c r="G252" s="35">
        <v>536.06756761840484</v>
      </c>
      <c r="H252" s="5">
        <v>-627.36391232163487</v>
      </c>
      <c r="I252" s="5">
        <v>-627.36346757971569</v>
      </c>
      <c r="J252" s="5">
        <v>-627.31695291497363</v>
      </c>
      <c r="K252" s="5">
        <v>567</v>
      </c>
      <c r="L252" s="5">
        <v>550.31679487179485</v>
      </c>
      <c r="M252" s="5">
        <v>537.33009708737859</v>
      </c>
      <c r="N252" s="5">
        <v>529.16073148841122</v>
      </c>
      <c r="O252" s="5">
        <v>527.22033109649465</v>
      </c>
      <c r="P252">
        <v>547.99837258586399</v>
      </c>
      <c r="Q252" s="5">
        <v>598.99999999999989</v>
      </c>
      <c r="R252" s="5">
        <v>492.99313354492188</v>
      </c>
      <c r="S252" s="5">
        <v>540.883056640625</v>
      </c>
      <c r="T252" s="5">
        <v>577.35046199233295</v>
      </c>
      <c r="U252" s="5">
        <v>533.26056879097712</v>
      </c>
      <c r="V252" s="5">
        <v>479.55476749752114</v>
      </c>
      <c r="W252" s="5">
        <v>440.45232669750703</v>
      </c>
    </row>
    <row r="253" spans="1:25">
      <c r="A253">
        <v>120</v>
      </c>
      <c r="B253">
        <v>1.2</v>
      </c>
      <c r="C253">
        <v>253.3</v>
      </c>
      <c r="D253">
        <v>19.224</v>
      </c>
      <c r="E253">
        <v>4.166666666666667</v>
      </c>
      <c r="F253">
        <v>408</v>
      </c>
      <c r="G253" s="35">
        <v>474.56456219711282</v>
      </c>
      <c r="H253" s="5">
        <v>-424.74323975866719</v>
      </c>
      <c r="I253" s="5">
        <v>-424.74305665796152</v>
      </c>
      <c r="J253" s="5">
        <v>-424.68833322582299</v>
      </c>
      <c r="K253" s="5">
        <v>519.14545454545453</v>
      </c>
      <c r="L253" s="5">
        <v>509.44391743742909</v>
      </c>
      <c r="M253" s="5">
        <v>561.34563106796111</v>
      </c>
      <c r="N253" s="5">
        <v>407.5411597165737</v>
      </c>
      <c r="O253" s="5">
        <v>402.11560083781239</v>
      </c>
      <c r="P253">
        <v>496.84322688304479</v>
      </c>
      <c r="Q253" s="5">
        <v>654.56321419407016</v>
      </c>
      <c r="R253" s="5">
        <v>461.18093872070313</v>
      </c>
      <c r="S253" s="5">
        <v>537.2799072265625</v>
      </c>
      <c r="T253" s="5">
        <v>473.88034560460238</v>
      </c>
      <c r="U253" s="5">
        <v>392.58834784618057</v>
      </c>
      <c r="V253" s="5">
        <v>336.98039812409411</v>
      </c>
      <c r="W253" s="5">
        <v>337.45350946702354</v>
      </c>
    </row>
    <row r="254" spans="1:25">
      <c r="A254">
        <v>190</v>
      </c>
      <c r="B254">
        <v>1.1100000000000001</v>
      </c>
      <c r="C254">
        <v>203.1</v>
      </c>
      <c r="D254">
        <v>110.3</v>
      </c>
      <c r="E254">
        <v>3.4526315789473681</v>
      </c>
      <c r="F254">
        <v>2940</v>
      </c>
      <c r="G254" s="35">
        <v>2934.441101169326</v>
      </c>
      <c r="H254" s="5">
        <v>3140.4783667860288</v>
      </c>
      <c r="I254" s="5">
        <v>3140.477900576604</v>
      </c>
      <c r="J254" s="5">
        <v>3140.472040448411</v>
      </c>
      <c r="K254" s="5">
        <v>2830.272727272727</v>
      </c>
      <c r="L254" s="5">
        <v>2995.9551704052401</v>
      </c>
      <c r="M254" s="5">
        <v>3123.2572815533981</v>
      </c>
      <c r="N254" s="5">
        <v>2990.3081508960058</v>
      </c>
      <c r="O254" s="5">
        <v>2940.8251574292758</v>
      </c>
      <c r="P254">
        <v>2849.8095236697718</v>
      </c>
      <c r="Q254" s="5">
        <v>2793.156244593175</v>
      </c>
      <c r="R254" s="5">
        <v>2843.001953125</v>
      </c>
      <c r="S254" s="5">
        <v>3048.296142578125</v>
      </c>
      <c r="T254" s="5">
        <v>3004.9158838929225</v>
      </c>
      <c r="U254" s="5">
        <v>3247.3117807556073</v>
      </c>
      <c r="V254" s="5">
        <v>2644.2462066055159</v>
      </c>
    </row>
    <row r="255" spans="1:25">
      <c r="A255">
        <v>101.9</v>
      </c>
      <c r="B255">
        <v>3.03</v>
      </c>
      <c r="C255">
        <v>371</v>
      </c>
      <c r="D255">
        <v>23.2</v>
      </c>
      <c r="E255">
        <v>2.993130520117762</v>
      </c>
      <c r="F255">
        <v>649</v>
      </c>
      <c r="G255" s="35">
        <v>674.00734012089151</v>
      </c>
      <c r="H255" s="5">
        <v>-68.099339855914877</v>
      </c>
      <c r="I255" s="5">
        <v>-68.098922753933948</v>
      </c>
      <c r="J255" s="5">
        <v>-68.048604733613502</v>
      </c>
      <c r="K255" s="5">
        <v>676</v>
      </c>
      <c r="L255" s="5">
        <v>683.57253026743422</v>
      </c>
      <c r="M255" s="5">
        <v>680.32075268817209</v>
      </c>
      <c r="N255" s="5">
        <v>718.48571262121379</v>
      </c>
      <c r="O255" s="5">
        <v>681.99714969551951</v>
      </c>
      <c r="P255">
        <v>709.24731591181592</v>
      </c>
      <c r="Q255" s="5">
        <v>734.44171641620085</v>
      </c>
      <c r="R255" s="5">
        <v>712.54217529296875</v>
      </c>
      <c r="S255" s="5">
        <v>758.613037109375</v>
      </c>
      <c r="T255" s="5">
        <v>795.32394320042761</v>
      </c>
      <c r="U255" s="5">
        <v>733.01524781193416</v>
      </c>
      <c r="V255" s="5">
        <v>655.39364377746085</v>
      </c>
      <c r="W255" s="5">
        <v>629.5622431869632</v>
      </c>
      <c r="Y255" s="5">
        <v>504.83384886518218</v>
      </c>
    </row>
    <row r="256" spans="1:25">
      <c r="A256">
        <v>114.3</v>
      </c>
      <c r="B256">
        <v>3.6</v>
      </c>
      <c r="C256">
        <v>403</v>
      </c>
      <c r="D256">
        <v>168.29499999999999</v>
      </c>
      <c r="E256">
        <v>2.1872265966754161</v>
      </c>
      <c r="F256">
        <v>2340</v>
      </c>
      <c r="G256" s="35">
        <v>2422</v>
      </c>
      <c r="H256" s="5">
        <v>2944.3098399644482</v>
      </c>
      <c r="I256" s="5">
        <v>2944.3098278035418</v>
      </c>
      <c r="J256" s="5">
        <v>2944.2533073592181</v>
      </c>
      <c r="K256" s="5">
        <v>1986.818181818182</v>
      </c>
      <c r="L256" s="5">
        <v>2378.5337997468869</v>
      </c>
      <c r="M256" s="5">
        <v>2422</v>
      </c>
      <c r="N256" s="5">
        <v>2336.7948787418632</v>
      </c>
      <c r="O256" s="5">
        <v>2325.8618916312012</v>
      </c>
      <c r="P256">
        <v>2220.3773527281869</v>
      </c>
      <c r="Q256" s="5">
        <v>2101.2448020787838</v>
      </c>
      <c r="R256" s="5">
        <v>2413.393798828125</v>
      </c>
      <c r="S256" s="5">
        <v>2039.5733642578125</v>
      </c>
      <c r="T256" s="5">
        <v>2360.4832150755692</v>
      </c>
      <c r="U256" s="5">
        <v>2242.6959391556989</v>
      </c>
      <c r="V256" s="5">
        <v>1966.2825883929149</v>
      </c>
    </row>
    <row r="257" spans="1:25">
      <c r="A257">
        <v>133</v>
      </c>
      <c r="B257">
        <v>5.8</v>
      </c>
      <c r="C257">
        <v>427</v>
      </c>
      <c r="D257">
        <v>84.2</v>
      </c>
      <c r="E257">
        <v>3.6090225563909768</v>
      </c>
      <c r="F257">
        <v>3112</v>
      </c>
      <c r="G257" s="35">
        <v>3190</v>
      </c>
      <c r="H257" s="5">
        <v>2967.7258583658149</v>
      </c>
      <c r="I257" s="5">
        <v>2967.7258822703252</v>
      </c>
      <c r="J257" s="5">
        <v>2967.66846822037</v>
      </c>
      <c r="K257" s="5">
        <v>3396.1111111111109</v>
      </c>
      <c r="L257" s="5">
        <v>3173.247384747383</v>
      </c>
      <c r="M257" s="5">
        <v>3190</v>
      </c>
      <c r="N257" s="5">
        <v>3142.8323809374019</v>
      </c>
      <c r="O257" s="5">
        <v>3198.3862692953321</v>
      </c>
      <c r="P257">
        <v>3225.6700839658679</v>
      </c>
      <c r="Q257" s="5">
        <v>2912.5636798882879</v>
      </c>
      <c r="R257" s="5">
        <v>3189.952880859375</v>
      </c>
      <c r="S257" s="5">
        <v>3210.818115234375</v>
      </c>
      <c r="T257" s="5">
        <v>2626.0948131302926</v>
      </c>
      <c r="U257" s="5">
        <v>2577.9034708529448</v>
      </c>
      <c r="V257" s="5">
        <v>2254.5027653766551</v>
      </c>
      <c r="W257" s="5">
        <v>2398.354208439634</v>
      </c>
    </row>
    <row r="258" spans="1:25">
      <c r="A258">
        <v>100</v>
      </c>
      <c r="B258">
        <v>3</v>
      </c>
      <c r="C258">
        <v>303.5</v>
      </c>
      <c r="D258">
        <v>32.457457285750117</v>
      </c>
      <c r="E258">
        <v>3</v>
      </c>
      <c r="F258">
        <v>820</v>
      </c>
      <c r="G258" s="35">
        <v>767.33333333333337</v>
      </c>
      <c r="H258" s="5">
        <v>-203.8677024384701</v>
      </c>
      <c r="I258" s="5">
        <v>-203.86726680981971</v>
      </c>
      <c r="J258" s="5">
        <v>-203.80919302929399</v>
      </c>
      <c r="K258" s="5">
        <v>718.36666666666667</v>
      </c>
      <c r="L258" s="5">
        <v>763.46284143413129</v>
      </c>
      <c r="M258" s="5">
        <v>767.18929035331178</v>
      </c>
      <c r="N258" s="5">
        <v>748.70822176764034</v>
      </c>
      <c r="O258" s="5">
        <v>775.05399852632718</v>
      </c>
      <c r="P258">
        <v>752.21058342405081</v>
      </c>
      <c r="Q258" s="5">
        <v>718.31405631102552</v>
      </c>
      <c r="R258" s="5">
        <v>763.902099609375</v>
      </c>
      <c r="S258" s="5">
        <v>719.502685546875</v>
      </c>
      <c r="T258" s="5">
        <v>784.62523113556176</v>
      </c>
      <c r="U258" s="5">
        <v>674.73396984035924</v>
      </c>
      <c r="V258" s="5">
        <v>594.58538281739277</v>
      </c>
      <c r="W258" s="5">
        <v>629.45225878916744</v>
      </c>
      <c r="X258" s="5">
        <v>629.33383803399397</v>
      </c>
      <c r="Y258" s="5">
        <v>488.35470424307027</v>
      </c>
    </row>
    <row r="259" spans="1:25">
      <c r="A259">
        <v>166</v>
      </c>
      <c r="B259">
        <v>5</v>
      </c>
      <c r="C259">
        <v>274.39999999999998</v>
      </c>
      <c r="D259">
        <v>29.62</v>
      </c>
      <c r="E259">
        <v>3.975903614457831</v>
      </c>
      <c r="F259">
        <v>1735</v>
      </c>
      <c r="G259" s="35">
        <v>1891.333333333333</v>
      </c>
      <c r="H259" s="5">
        <v>2421.7313214300648</v>
      </c>
      <c r="I259" s="5">
        <v>2421.7313594243242</v>
      </c>
      <c r="J259" s="5">
        <v>2421.7439467613231</v>
      </c>
      <c r="K259" s="5">
        <v>1916.598502577501</v>
      </c>
      <c r="L259" s="5">
        <v>1907.3515740545629</v>
      </c>
      <c r="M259" s="5">
        <v>1894.7802337014291</v>
      </c>
      <c r="N259" s="5">
        <v>1901.0970514525229</v>
      </c>
      <c r="O259" s="5">
        <v>1931.2055812895589</v>
      </c>
      <c r="P259">
        <v>1894.568181920725</v>
      </c>
      <c r="Q259" s="5">
        <v>1804.755667834022</v>
      </c>
      <c r="R259" s="5">
        <v>1894.022583007812</v>
      </c>
      <c r="S259" s="5">
        <v>1877.2431640625</v>
      </c>
      <c r="T259" s="5">
        <v>1814.8103786117317</v>
      </c>
      <c r="U259" s="5">
        <v>1690.3437290330673</v>
      </c>
      <c r="V259" s="5">
        <v>1489.3102909377585</v>
      </c>
      <c r="W259" s="5">
        <v>1541.9718731273672</v>
      </c>
      <c r="X259" s="5">
        <v>1514.976847697214</v>
      </c>
      <c r="Y259" s="5">
        <v>1219.312908405215</v>
      </c>
    </row>
    <row r="260" spans="1:25">
      <c r="A260">
        <v>140</v>
      </c>
      <c r="B260">
        <v>4.5</v>
      </c>
      <c r="C260">
        <v>374.2</v>
      </c>
      <c r="D260">
        <v>50.44</v>
      </c>
      <c r="E260">
        <v>3</v>
      </c>
      <c r="F260">
        <v>1524.3</v>
      </c>
      <c r="G260" s="35">
        <v>1530.4</v>
      </c>
      <c r="H260" s="5">
        <v>1985.640139170067</v>
      </c>
      <c r="I260" s="5">
        <v>1985.640312935039</v>
      </c>
      <c r="J260" s="5">
        <v>1985.6542056756441</v>
      </c>
      <c r="K260" s="5">
        <v>1709.8714285714291</v>
      </c>
      <c r="L260" s="5">
        <v>1603.359044190584</v>
      </c>
      <c r="M260" s="5">
        <v>1533.626674757282</v>
      </c>
      <c r="N260" s="5">
        <v>1620.694694937443</v>
      </c>
      <c r="O260" s="5">
        <v>1603.96962200386</v>
      </c>
      <c r="P260">
        <v>1672.6798163561009</v>
      </c>
      <c r="Q260" s="5">
        <v>1743.831774626467</v>
      </c>
      <c r="R260" s="5">
        <v>1538.719604492188</v>
      </c>
      <c r="S260" s="5">
        <v>1837.282470703125</v>
      </c>
      <c r="T260" s="5">
        <v>1862.0134594737265</v>
      </c>
      <c r="U260" s="5">
        <v>1841.0772785788602</v>
      </c>
      <c r="V260" s="5">
        <v>1614.0690860962518</v>
      </c>
      <c r="W260" s="5">
        <v>1728.687744104878</v>
      </c>
      <c r="X260" s="5">
        <v>1688.434196108389</v>
      </c>
      <c r="Y260" s="5">
        <v>1351.8317444518791</v>
      </c>
    </row>
    <row r="261" spans="1:25">
      <c r="A261">
        <v>89.32</v>
      </c>
      <c r="B261">
        <v>2.74</v>
      </c>
      <c r="C261">
        <v>360</v>
      </c>
      <c r="D261">
        <v>26.454317301666318</v>
      </c>
      <c r="E261">
        <v>3.8065382892969102</v>
      </c>
      <c r="F261">
        <v>603</v>
      </c>
      <c r="G261" s="35">
        <v>599.81152549288583</v>
      </c>
      <c r="H261" s="5">
        <v>-477.64897245885459</v>
      </c>
      <c r="I261" s="5">
        <v>-477.64860005109722</v>
      </c>
      <c r="J261" s="5">
        <v>-477.61943215458899</v>
      </c>
      <c r="K261" s="5">
        <v>575.92307692307691</v>
      </c>
      <c r="L261" s="5">
        <v>604.62500230846649</v>
      </c>
      <c r="M261" s="5">
        <v>607.9796925566344</v>
      </c>
      <c r="N261" s="5">
        <v>576.84087757156829</v>
      </c>
      <c r="O261" s="5">
        <v>577.74388747546357</v>
      </c>
      <c r="P261">
        <v>591.25475008088915</v>
      </c>
      <c r="Q261" s="5">
        <v>611.78526541626945</v>
      </c>
      <c r="R261" s="5">
        <v>603.41778564453125</v>
      </c>
      <c r="S261" s="5">
        <v>681.249755859375</v>
      </c>
      <c r="T261" s="5">
        <v>637.1254513686896</v>
      </c>
      <c r="U261" s="5">
        <v>580.69161367101651</v>
      </c>
      <c r="V261" s="5">
        <v>517.49960340155258</v>
      </c>
      <c r="W261" s="5">
        <v>510.7030885473344</v>
      </c>
      <c r="Y261" s="5">
        <v>402.72546467781768</v>
      </c>
    </row>
    <row r="262" spans="1:25">
      <c r="A262">
        <v>112.56</v>
      </c>
      <c r="B262">
        <v>2.89</v>
      </c>
      <c r="C262">
        <v>360</v>
      </c>
      <c r="D262">
        <v>35.061137668994363</v>
      </c>
      <c r="E262">
        <v>3.020611229566454</v>
      </c>
      <c r="F262">
        <v>788</v>
      </c>
      <c r="G262" s="35">
        <v>763.46261222505859</v>
      </c>
      <c r="H262" s="5">
        <v>392.85175206728991</v>
      </c>
      <c r="I262" s="5">
        <v>392.85205851898633</v>
      </c>
      <c r="J262" s="5">
        <v>392.8925311181149</v>
      </c>
      <c r="K262" s="5">
        <v>769.4545454545455</v>
      </c>
      <c r="L262" s="5">
        <v>749.80055773440336</v>
      </c>
      <c r="M262" s="5">
        <v>774.73310487623837</v>
      </c>
      <c r="N262" s="5">
        <v>776.56645929117371</v>
      </c>
      <c r="O262" s="5">
        <v>757.23015900467544</v>
      </c>
      <c r="P262">
        <v>738.73038915225243</v>
      </c>
      <c r="Q262" s="5">
        <v>788.16262682343711</v>
      </c>
      <c r="R262" s="5">
        <v>774.59619140625</v>
      </c>
      <c r="S262" s="5">
        <v>891.925048828125</v>
      </c>
      <c r="T262" s="5">
        <v>964.22506753066375</v>
      </c>
      <c r="U262" s="5">
        <v>894.67713842242267</v>
      </c>
      <c r="V262" s="5">
        <v>786.89617411282336</v>
      </c>
      <c r="W262" s="5">
        <v>827.76236291059274</v>
      </c>
      <c r="X262" s="5">
        <v>829.2977276657665</v>
      </c>
      <c r="Y262" s="5">
        <v>651.86772086296821</v>
      </c>
    </row>
    <row r="263" spans="1:25">
      <c r="A263">
        <v>167</v>
      </c>
      <c r="B263">
        <v>3.1</v>
      </c>
      <c r="C263">
        <v>300</v>
      </c>
      <c r="D263">
        <v>33.430466935522098</v>
      </c>
      <c r="E263">
        <v>2.0958083832335328</v>
      </c>
      <c r="F263">
        <v>1314</v>
      </c>
      <c r="G263" s="35">
        <v>1344.615518363513</v>
      </c>
      <c r="H263" s="5">
        <v>1969.9383767137149</v>
      </c>
      <c r="I263" s="5">
        <v>1969.938511447536</v>
      </c>
      <c r="J263" s="5">
        <v>1970.0004283479079</v>
      </c>
      <c r="K263" s="5">
        <v>1437.82</v>
      </c>
      <c r="L263" s="5">
        <v>1427.899329586771</v>
      </c>
      <c r="M263" s="5">
        <v>1374.2625283778909</v>
      </c>
      <c r="N263" s="5">
        <v>1322.622985269538</v>
      </c>
      <c r="O263" s="5">
        <v>1104.480038144206</v>
      </c>
      <c r="P263">
        <v>1260.970033459339</v>
      </c>
      <c r="Q263" s="5">
        <v>1449.227425944596</v>
      </c>
      <c r="R263" s="5">
        <v>1057.946044921875</v>
      </c>
      <c r="S263" s="5">
        <v>1288.20263671875</v>
      </c>
      <c r="T263" s="5">
        <v>1423.0135932593973</v>
      </c>
      <c r="U263" s="5">
        <v>1454.6567582213636</v>
      </c>
      <c r="V263" s="5">
        <v>1259.5462867349599</v>
      </c>
      <c r="W263" s="5">
        <v>1209.0841166825298</v>
      </c>
      <c r="X263" s="5">
        <v>1436.705698559605</v>
      </c>
      <c r="Y263" s="5">
        <v>1119.8914099076039</v>
      </c>
    </row>
    <row r="264" spans="1:25">
      <c r="A264">
        <v>112.56</v>
      </c>
      <c r="B264">
        <v>2.89</v>
      </c>
      <c r="C264">
        <v>360</v>
      </c>
      <c r="D264">
        <v>23.98620160597271</v>
      </c>
      <c r="E264">
        <v>3.020611229566454</v>
      </c>
      <c r="F264">
        <v>730</v>
      </c>
      <c r="G264" s="35">
        <v>698.46167832640128</v>
      </c>
      <c r="H264" s="5">
        <v>215.3949095484281</v>
      </c>
      <c r="I264" s="5">
        <v>215.39525837808611</v>
      </c>
      <c r="J264" s="5">
        <v>215.4452622618164</v>
      </c>
      <c r="K264" s="5">
        <v>769.4545454545455</v>
      </c>
      <c r="L264" s="5">
        <v>706.6260082075728</v>
      </c>
      <c r="M264" s="5">
        <v>699.30290448190135</v>
      </c>
      <c r="N264" s="5">
        <v>738.14636949632279</v>
      </c>
      <c r="O264" s="5">
        <v>796.33994191963302</v>
      </c>
      <c r="P264">
        <v>735.49205156717574</v>
      </c>
      <c r="Q264" s="5">
        <v>784.17739459301458</v>
      </c>
      <c r="R264" s="5">
        <v>727.193359375</v>
      </c>
      <c r="S264" s="5">
        <v>829.3909912109375</v>
      </c>
      <c r="T264" s="5">
        <v>861.09308827842301</v>
      </c>
      <c r="U264" s="5">
        <v>795.50014416023214</v>
      </c>
      <c r="V264" s="5">
        <v>707.55457870307089</v>
      </c>
      <c r="W264" s="5">
        <v>694.24871682462174</v>
      </c>
      <c r="Y264" s="5">
        <v>558.74381228626407</v>
      </c>
    </row>
    <row r="265" spans="1:25">
      <c r="A265">
        <v>219.1</v>
      </c>
      <c r="B265">
        <v>10</v>
      </c>
      <c r="C265">
        <v>381</v>
      </c>
      <c r="D265">
        <v>179.547</v>
      </c>
      <c r="E265">
        <v>2.7384755819260609</v>
      </c>
      <c r="F265">
        <v>9085</v>
      </c>
      <c r="G265" s="35">
        <v>7312.6868198787552</v>
      </c>
      <c r="H265" s="5">
        <v>8014.5913570092771</v>
      </c>
      <c r="I265" s="5">
        <v>8014.5908203254539</v>
      </c>
      <c r="J265" s="5">
        <v>8014.4447986520718</v>
      </c>
      <c r="K265" s="5">
        <v>7239.75</v>
      </c>
      <c r="L265" s="5">
        <v>7202.2625764492177</v>
      </c>
      <c r="M265" s="5">
        <v>6925.2031709229605</v>
      </c>
      <c r="N265" s="5">
        <v>8427.8294152328308</v>
      </c>
      <c r="O265" s="5">
        <v>7631.1591969725259</v>
      </c>
      <c r="P265">
        <v>7239.9647309111633</v>
      </c>
      <c r="Q265" s="5">
        <v>6713.9637636051157</v>
      </c>
      <c r="R265" s="5">
        <v>7163.79931640625</v>
      </c>
      <c r="S265" s="5">
        <v>7666.1455078125</v>
      </c>
      <c r="T265" s="5">
        <v>8910.1873266019338</v>
      </c>
      <c r="U265" s="5">
        <v>9194.0385620876423</v>
      </c>
      <c r="V265" s="5">
        <v>8200.3522933596578</v>
      </c>
    </row>
    <row r="266" spans="1:25">
      <c r="A266">
        <v>190</v>
      </c>
      <c r="B266">
        <v>1.52</v>
      </c>
      <c r="C266">
        <v>306.10000000000002</v>
      </c>
      <c r="D266">
        <v>48.3</v>
      </c>
      <c r="E266">
        <v>3.4973684210526321</v>
      </c>
      <c r="F266">
        <v>1695</v>
      </c>
      <c r="G266" s="35">
        <v>1694.8</v>
      </c>
      <c r="H266" s="5">
        <v>2637.160619491146</v>
      </c>
      <c r="I266" s="5">
        <v>2637.1603374346469</v>
      </c>
      <c r="J266" s="5">
        <v>2637.1870849504562</v>
      </c>
      <c r="K266" s="5">
        <v>1755.288888888889</v>
      </c>
      <c r="L266" s="5">
        <v>1886.3581240620549</v>
      </c>
      <c r="M266" s="5">
        <v>1695.312864077664</v>
      </c>
      <c r="N266" s="5">
        <v>1691.491738296429</v>
      </c>
      <c r="O266" s="5">
        <v>1664.440657511858</v>
      </c>
      <c r="P266">
        <v>1765.9724311638649</v>
      </c>
      <c r="Q266" s="5">
        <v>1980.0654440053211</v>
      </c>
      <c r="R266" s="5">
        <v>1693.206176757812</v>
      </c>
      <c r="S266" s="5">
        <v>2212.383056640625</v>
      </c>
      <c r="T266" s="5">
        <v>1876.5336427309448</v>
      </c>
      <c r="U266" s="5">
        <v>1772.2826485554724</v>
      </c>
      <c r="V266" s="5">
        <v>1473.5780441752106</v>
      </c>
      <c r="W266" s="5">
        <v>1519.8800362162167</v>
      </c>
      <c r="Y266" s="5">
        <v>1189.8502015485519</v>
      </c>
    </row>
    <row r="267" spans="1:25">
      <c r="A267">
        <v>89.32</v>
      </c>
      <c r="B267">
        <v>2.74</v>
      </c>
      <c r="C267">
        <v>360</v>
      </c>
      <c r="D267">
        <v>24.801811831230211</v>
      </c>
      <c r="E267">
        <v>3.8065382892969102</v>
      </c>
      <c r="F267">
        <v>560</v>
      </c>
      <c r="G267" s="35">
        <v>590.88476878888059</v>
      </c>
      <c r="H267" s="5">
        <v>-490.93313932937872</v>
      </c>
      <c r="I267" s="5">
        <v>-490.93276524617158</v>
      </c>
      <c r="J267" s="5">
        <v>-490.90545850109129</v>
      </c>
      <c r="K267" s="5">
        <v>570.90909090909088</v>
      </c>
      <c r="L267" s="5">
        <v>572.35798583361088</v>
      </c>
      <c r="M267" s="5">
        <v>571.04490869163203</v>
      </c>
      <c r="N267" s="5">
        <v>561.94999998075855</v>
      </c>
      <c r="O267" s="5">
        <v>569.45822270595568</v>
      </c>
      <c r="P267">
        <v>570.59697458903122</v>
      </c>
      <c r="Q267" s="5">
        <v>607.00200184603966</v>
      </c>
      <c r="R267" s="5">
        <v>585.57666015625</v>
      </c>
      <c r="S267" s="5">
        <v>576.005859375</v>
      </c>
      <c r="T267" s="5">
        <v>626.76725774014324</v>
      </c>
      <c r="U267" s="5">
        <v>571.56866300197498</v>
      </c>
      <c r="V267" s="5">
        <v>510.20124286631926</v>
      </c>
      <c r="W267" s="5">
        <v>497.49342029448201</v>
      </c>
      <c r="Y267" s="5">
        <v>394.20682859322642</v>
      </c>
    </row>
    <row r="268" spans="1:25">
      <c r="A268">
        <v>630</v>
      </c>
      <c r="B268">
        <v>7.61</v>
      </c>
      <c r="C268">
        <v>349.5</v>
      </c>
      <c r="D268">
        <v>35</v>
      </c>
      <c r="E268">
        <v>3</v>
      </c>
      <c r="F268">
        <v>18000</v>
      </c>
      <c r="G268" s="35">
        <v>21766.632204184891</v>
      </c>
      <c r="H268" s="5">
        <v>18114.536458959112</v>
      </c>
      <c r="I268" s="5">
        <v>18114.533928471741</v>
      </c>
      <c r="J268" s="5">
        <v>18114.440644751801</v>
      </c>
      <c r="K268" s="5">
        <v>24981</v>
      </c>
      <c r="L268" s="5">
        <v>24267.359182602351</v>
      </c>
      <c r="M268" s="5">
        <v>20568.633948225361</v>
      </c>
      <c r="N268" s="5">
        <v>15799.519498985481</v>
      </c>
      <c r="O268" s="5">
        <v>18826.510432348241</v>
      </c>
      <c r="P268">
        <v>17967.09390494262</v>
      </c>
      <c r="Q268" s="5">
        <v>28830.000000000018</v>
      </c>
      <c r="R268" s="5">
        <v>15922.4541015625</v>
      </c>
      <c r="S268" s="5">
        <v>17706.48046875</v>
      </c>
      <c r="T268" s="5">
        <v>17925.804950969046</v>
      </c>
      <c r="U268" s="5">
        <v>18814.360309070318</v>
      </c>
      <c r="V268" s="5">
        <v>16099.419207481942</v>
      </c>
      <c r="W268" s="5">
        <v>15104.037906148189</v>
      </c>
      <c r="Y268" s="5">
        <v>14938.716605163099</v>
      </c>
    </row>
    <row r="269" spans="1:25">
      <c r="A269">
        <v>190</v>
      </c>
      <c r="B269">
        <v>0.86</v>
      </c>
      <c r="C269">
        <v>210.7</v>
      </c>
      <c r="D269">
        <v>108</v>
      </c>
      <c r="E269">
        <v>3.4842105263157901</v>
      </c>
      <c r="F269">
        <v>3070</v>
      </c>
      <c r="G269" s="35">
        <v>3009.7987056759312</v>
      </c>
      <c r="H269" s="5">
        <v>2826.1616604163401</v>
      </c>
      <c r="I269" s="5">
        <v>2826.1612329823902</v>
      </c>
      <c r="J269" s="5">
        <v>2826.153465281614</v>
      </c>
      <c r="K269" s="5">
        <v>2894.1538461538462</v>
      </c>
      <c r="L269" s="5">
        <v>3000.2978205128211</v>
      </c>
      <c r="M269" s="5">
        <v>3047.5922330097092</v>
      </c>
      <c r="N269" s="5">
        <v>2992.0180007905901</v>
      </c>
      <c r="O269" s="5">
        <v>2906.1183956687328</v>
      </c>
      <c r="P269">
        <v>2919.3539761155262</v>
      </c>
      <c r="Q269" s="5">
        <v>2642.6200170743541</v>
      </c>
      <c r="R269" s="5">
        <v>2978.59765625</v>
      </c>
      <c r="S269" s="5">
        <v>3020.197998046875</v>
      </c>
      <c r="T269" s="5">
        <v>2941.8136828714541</v>
      </c>
      <c r="U269" s="5">
        <v>3161.9663325884267</v>
      </c>
      <c r="V269" s="5">
        <v>2566.9437294739801</v>
      </c>
    </row>
    <row r="270" spans="1:25">
      <c r="A270">
        <v>140.1</v>
      </c>
      <c r="B270">
        <v>9.68</v>
      </c>
      <c r="C270">
        <v>273</v>
      </c>
      <c r="D270">
        <v>32.6</v>
      </c>
      <c r="E270">
        <v>2.897930049964311</v>
      </c>
      <c r="F270">
        <v>2949</v>
      </c>
      <c r="G270" s="35">
        <v>2946.79834361553</v>
      </c>
      <c r="H270" s="5">
        <v>2721.9574479568828</v>
      </c>
      <c r="I270" s="5">
        <v>2721.9579791624419</v>
      </c>
      <c r="J270" s="5">
        <v>2721.9771159601191</v>
      </c>
      <c r="K270" s="5">
        <v>2371.5626163395318</v>
      </c>
      <c r="L270" s="5">
        <v>2874.3915119346452</v>
      </c>
      <c r="M270" s="5">
        <v>2948.4083343051861</v>
      </c>
      <c r="N270" s="5">
        <v>2574.151591933105</v>
      </c>
      <c r="O270" s="5">
        <v>2717.9377441144338</v>
      </c>
      <c r="P270">
        <v>2843.4666024675698</v>
      </c>
      <c r="Q270" s="5">
        <v>2717.3141918078782</v>
      </c>
      <c r="R270" s="5">
        <v>2889.962890625</v>
      </c>
      <c r="S270" s="5">
        <v>1843.4151611328125</v>
      </c>
      <c r="T270" s="5">
        <v>2319.3740983130419</v>
      </c>
      <c r="U270" s="5">
        <v>2127.3292743569286</v>
      </c>
      <c r="V270" s="5">
        <v>1904.6208913860196</v>
      </c>
      <c r="W270" s="5">
        <v>1803.5609182740525</v>
      </c>
      <c r="X270" s="5">
        <v>1898.4073819706639</v>
      </c>
      <c r="Y270" s="5">
        <v>1429.959867029045</v>
      </c>
    </row>
    <row r="271" spans="1:25">
      <c r="A271">
        <v>140</v>
      </c>
      <c r="B271">
        <v>4.5</v>
      </c>
      <c r="C271">
        <v>462.9</v>
      </c>
      <c r="D271">
        <v>37.83</v>
      </c>
      <c r="E271">
        <v>3</v>
      </c>
      <c r="F271">
        <v>1763.9</v>
      </c>
      <c r="G271" s="35">
        <v>1717.140540540541</v>
      </c>
      <c r="H271" s="5">
        <v>2062.8590360362332</v>
      </c>
      <c r="I271" s="5">
        <v>2062.8591761940052</v>
      </c>
      <c r="J271" s="5">
        <v>2062.8590389210972</v>
      </c>
      <c r="K271" s="5">
        <v>1587.5</v>
      </c>
      <c r="L271" s="5">
        <v>1660.432115102697</v>
      </c>
      <c r="M271" s="5">
        <v>1704.191040843275</v>
      </c>
      <c r="N271" s="5">
        <v>1540.210143079212</v>
      </c>
      <c r="O271" s="5">
        <v>1743.5198611024571</v>
      </c>
      <c r="P271">
        <v>1549.1232008151001</v>
      </c>
      <c r="Q271" s="5">
        <v>1498.6018610717019</v>
      </c>
      <c r="R271" s="5">
        <v>1515.451416015625</v>
      </c>
      <c r="S271" s="5">
        <v>1790.44384765625</v>
      </c>
      <c r="T271" s="5">
        <v>1892.5385124963977</v>
      </c>
      <c r="U271" s="5">
        <v>1946.3751830889551</v>
      </c>
      <c r="V271" s="5">
        <v>1731.7790405134713</v>
      </c>
      <c r="W271" s="5">
        <v>1712.4651189899043</v>
      </c>
      <c r="Y271" s="5">
        <v>1359.672778633412</v>
      </c>
    </row>
    <row r="272" spans="1:25">
      <c r="A272">
        <v>112.56</v>
      </c>
      <c r="B272">
        <v>2.89</v>
      </c>
      <c r="C272">
        <v>360</v>
      </c>
      <c r="D272">
        <v>33.339073367926837</v>
      </c>
      <c r="E272">
        <v>3.020611229566454</v>
      </c>
      <c r="F272">
        <v>757</v>
      </c>
      <c r="G272" s="35">
        <v>737.12985502939284</v>
      </c>
      <c r="H272" s="5">
        <v>329.63487629073597</v>
      </c>
      <c r="I272" s="5">
        <v>329.63522681693479</v>
      </c>
      <c r="J272" s="5">
        <v>329.68301552793582</v>
      </c>
      <c r="K272" s="5">
        <v>796.52499999999998</v>
      </c>
      <c r="L272" s="5">
        <v>754.05564263722408</v>
      </c>
      <c r="M272" s="5">
        <v>739.22140558201249</v>
      </c>
      <c r="N272" s="5">
        <v>725.35836052867808</v>
      </c>
      <c r="O272" s="5">
        <v>740.8085388913313</v>
      </c>
      <c r="P272">
        <v>705.73194462326444</v>
      </c>
      <c r="Q272" s="5">
        <v>809.3574839737081</v>
      </c>
      <c r="R272" s="5">
        <v>724.72857666015625</v>
      </c>
      <c r="S272" s="5">
        <v>888.0220947265625</v>
      </c>
      <c r="T272" s="5">
        <v>947.96837600830622</v>
      </c>
      <c r="U272" s="5">
        <v>879.25590616119564</v>
      </c>
      <c r="V272" s="5">
        <v>774.55918830384178</v>
      </c>
      <c r="W272" s="5">
        <v>807.57274897636478</v>
      </c>
      <c r="X272" s="5">
        <v>814.94380964120762</v>
      </c>
      <c r="Y272" s="5">
        <v>637.39612065043514</v>
      </c>
    </row>
    <row r="273" spans="1:25">
      <c r="A273">
        <v>76.453999999999994</v>
      </c>
      <c r="B273">
        <v>1.7018</v>
      </c>
      <c r="C273">
        <v>363.28476108320001</v>
      </c>
      <c r="D273">
        <v>33.301677662400003</v>
      </c>
      <c r="E273">
        <v>1.9933554817275749</v>
      </c>
      <c r="F273">
        <v>433.25678384000003</v>
      </c>
      <c r="G273" s="35">
        <v>441.07770835723471</v>
      </c>
      <c r="H273" s="5">
        <v>-1238.4844633375319</v>
      </c>
      <c r="I273" s="5">
        <v>-1238.4838200018089</v>
      </c>
      <c r="J273" s="5">
        <v>-1238.391655765</v>
      </c>
      <c r="K273" s="5">
        <v>401.10912503200001</v>
      </c>
      <c r="L273" s="5">
        <v>443.64670613441558</v>
      </c>
      <c r="M273" s="5">
        <v>434.85682677475648</v>
      </c>
      <c r="N273" s="5">
        <v>404.99966963972741</v>
      </c>
      <c r="O273" s="5">
        <v>434.31617101341772</v>
      </c>
      <c r="P273">
        <v>423.43653414523988</v>
      </c>
      <c r="Q273" s="5">
        <v>468.47473935272092</v>
      </c>
      <c r="R273" s="5">
        <v>405.05410766601563</v>
      </c>
      <c r="S273" s="5">
        <v>471.1617431640625</v>
      </c>
      <c r="T273" s="5">
        <v>463.98883927580175</v>
      </c>
      <c r="U273" s="5">
        <v>374.77685407992345</v>
      </c>
      <c r="V273" s="5">
        <v>328.75406947937199</v>
      </c>
      <c r="W273" s="5">
        <v>347.80814416044473</v>
      </c>
      <c r="X273" s="5">
        <v>368.89708231682488</v>
      </c>
      <c r="Y273" s="5">
        <v>276.86574642807761</v>
      </c>
    </row>
    <row r="274" spans="1:25">
      <c r="A274">
        <v>140</v>
      </c>
      <c r="B274">
        <v>5</v>
      </c>
      <c r="C274">
        <v>378.28</v>
      </c>
      <c r="D274">
        <v>45.1</v>
      </c>
      <c r="E274">
        <v>6</v>
      </c>
      <c r="F274">
        <v>1667</v>
      </c>
      <c r="G274" s="35">
        <v>1685.6</v>
      </c>
      <c r="H274" s="5">
        <v>2313.0853750025371</v>
      </c>
      <c r="I274" s="5">
        <v>2313.0852039019292</v>
      </c>
      <c r="J274" s="5">
        <v>2313.0157995244931</v>
      </c>
      <c r="K274" s="5">
        <v>1379.0857142857139</v>
      </c>
      <c r="L274" s="5">
        <v>1665.2231431562459</v>
      </c>
      <c r="M274" s="5">
        <v>1685.313915857603</v>
      </c>
      <c r="N274" s="5">
        <v>1631.595548598305</v>
      </c>
      <c r="O274" s="5">
        <v>1625.396915904055</v>
      </c>
      <c r="P274">
        <v>1709.7252604744681</v>
      </c>
      <c r="Q274" s="5">
        <v>1685.6</v>
      </c>
      <c r="R274" s="5">
        <v>1681.860961914062</v>
      </c>
      <c r="S274" s="5">
        <v>1634.53125</v>
      </c>
      <c r="T274" s="5">
        <v>1632.7827470943535</v>
      </c>
      <c r="U274" s="5">
        <v>1898.1398512113431</v>
      </c>
      <c r="V274" s="5">
        <v>1675.847679428246</v>
      </c>
      <c r="W274" s="5">
        <v>1742.981956451805</v>
      </c>
      <c r="X274" s="5">
        <v>1471.925750866417</v>
      </c>
      <c r="Y274" s="5">
        <v>1329.8204008196799</v>
      </c>
    </row>
    <row r="275" spans="1:25">
      <c r="A275">
        <v>108</v>
      </c>
      <c r="B275">
        <v>4.5</v>
      </c>
      <c r="C275">
        <v>409.64</v>
      </c>
      <c r="D275">
        <v>28.6</v>
      </c>
      <c r="E275">
        <v>2.6388888888888888</v>
      </c>
      <c r="F275">
        <v>1254.4000000000001</v>
      </c>
      <c r="G275" s="35">
        <v>1221.088235294118</v>
      </c>
      <c r="H275" s="5">
        <v>718.69415731859226</v>
      </c>
      <c r="I275" s="5">
        <v>718.69459921543421</v>
      </c>
      <c r="J275" s="5">
        <v>718.72136970510155</v>
      </c>
      <c r="K275" s="5">
        <v>1251.6675232</v>
      </c>
      <c r="L275" s="5">
        <v>1211.156754112257</v>
      </c>
      <c r="M275" s="5">
        <v>1223.123690234627</v>
      </c>
      <c r="N275" s="5">
        <v>1235.792967595122</v>
      </c>
      <c r="O275" s="5">
        <v>1187.3524111926431</v>
      </c>
      <c r="P275">
        <v>1183.027546281608</v>
      </c>
      <c r="Q275" s="5">
        <v>1118.076177311141</v>
      </c>
      <c r="R275" s="5">
        <v>1201.130249023438</v>
      </c>
      <c r="S275" s="5">
        <v>1081.9200439453125</v>
      </c>
      <c r="T275" s="5">
        <v>1211.6756553111036</v>
      </c>
      <c r="U275" s="5">
        <v>1191.1558234828958</v>
      </c>
      <c r="V275" s="5">
        <v>1069.6086191103561</v>
      </c>
      <c r="W275" s="5">
        <v>1008.4729192276545</v>
      </c>
      <c r="X275" s="5">
        <v>1090.5679376737539</v>
      </c>
      <c r="Y275" s="5">
        <v>804.03239145517159</v>
      </c>
    </row>
    <row r="276" spans="1:25">
      <c r="A276">
        <v>159.80000000000001</v>
      </c>
      <c r="B276">
        <v>6.3</v>
      </c>
      <c r="C276">
        <v>482.5</v>
      </c>
      <c r="D276">
        <v>60.75</v>
      </c>
      <c r="E276">
        <v>2.978723404255319</v>
      </c>
      <c r="F276">
        <v>3123</v>
      </c>
      <c r="G276" s="35">
        <v>2383.5452808621171</v>
      </c>
      <c r="H276" s="5">
        <v>3594.7348846419918</v>
      </c>
      <c r="I276" s="5">
        <v>3594.7348905882109</v>
      </c>
      <c r="J276" s="5">
        <v>3594.6961980716751</v>
      </c>
      <c r="K276" s="5">
        <v>2807.3046675043679</v>
      </c>
      <c r="L276" s="5">
        <v>2413.710539815007</v>
      </c>
      <c r="M276" s="5">
        <v>2415.5622977346279</v>
      </c>
      <c r="N276" s="5">
        <v>2532.5031198981951</v>
      </c>
      <c r="O276" s="5">
        <v>2473.9733857595138</v>
      </c>
      <c r="P276">
        <v>2684.051555122202</v>
      </c>
      <c r="Q276" s="5">
        <v>2705.5202781877401</v>
      </c>
      <c r="R276" s="5">
        <v>2695.193359375</v>
      </c>
      <c r="S276" s="5">
        <v>2438.724853515625</v>
      </c>
      <c r="T276" s="5">
        <v>3264.6187761532165</v>
      </c>
      <c r="U276" s="5">
        <v>3408.5493401029357</v>
      </c>
      <c r="V276" s="5">
        <v>3013.0223316226097</v>
      </c>
      <c r="W276" s="5">
        <v>3101.9479879242972</v>
      </c>
      <c r="Y276" s="5">
        <v>2425.5605747814452</v>
      </c>
    </row>
    <row r="277" spans="1:25">
      <c r="A277">
        <v>159</v>
      </c>
      <c r="B277">
        <v>6</v>
      </c>
      <c r="C277">
        <v>405</v>
      </c>
      <c r="D277">
        <v>46.831412032875782</v>
      </c>
      <c r="E277">
        <v>3.1446540880503151</v>
      </c>
      <c r="F277">
        <v>2957.6</v>
      </c>
      <c r="G277" s="35">
        <v>3099.3</v>
      </c>
      <c r="H277" s="5">
        <v>3126.16828088898</v>
      </c>
      <c r="I277" s="5">
        <v>3126.1683641489071</v>
      </c>
      <c r="J277" s="5">
        <v>3126.1499278855949</v>
      </c>
      <c r="K277" s="5">
        <v>3050.8393338664159</v>
      </c>
      <c r="L277" s="5">
        <v>3043.668449216012</v>
      </c>
      <c r="M277" s="5">
        <v>3099.300000000002</v>
      </c>
      <c r="N277" s="5">
        <v>2891.4962940598798</v>
      </c>
      <c r="O277" s="5">
        <v>2965.723057314251</v>
      </c>
      <c r="P277">
        <v>2753.8309435189249</v>
      </c>
      <c r="Q277" s="5">
        <v>2822.122256540888</v>
      </c>
      <c r="R277" s="5">
        <v>3085.0751953125</v>
      </c>
      <c r="S277" s="5">
        <v>2642.667236328125</v>
      </c>
      <c r="T277" s="5">
        <v>2597.1130049745871</v>
      </c>
      <c r="U277" s="5">
        <v>2686.9878466820846</v>
      </c>
      <c r="V277" s="5">
        <v>2378.1067210948208</v>
      </c>
      <c r="W277" s="5">
        <v>2432.7551888586199</v>
      </c>
      <c r="X277" s="5">
        <v>2405.9803870623668</v>
      </c>
      <c r="Y277" s="5">
        <v>1906.4204354941321</v>
      </c>
    </row>
    <row r="278" spans="1:25">
      <c r="A278">
        <v>60</v>
      </c>
      <c r="B278">
        <v>2</v>
      </c>
      <c r="C278">
        <v>404</v>
      </c>
      <c r="D278">
        <v>72</v>
      </c>
      <c r="E278">
        <v>3</v>
      </c>
      <c r="F278">
        <v>437</v>
      </c>
      <c r="G278" s="35">
        <v>631.27624717988544</v>
      </c>
      <c r="H278" s="5">
        <v>-776.21304717253679</v>
      </c>
      <c r="I278" s="5">
        <v>-776.21264119146235</v>
      </c>
      <c r="J278" s="5">
        <v>-776.20133542163285</v>
      </c>
      <c r="K278" s="5">
        <v>263.50625000000002</v>
      </c>
      <c r="L278" s="5">
        <v>441.44301384371857</v>
      </c>
      <c r="M278" s="5">
        <v>449.46893203883502</v>
      </c>
      <c r="N278" s="5">
        <v>371.65082236849588</v>
      </c>
      <c r="O278" s="5">
        <v>416.64566329570181</v>
      </c>
      <c r="P278">
        <v>447.19619763758988</v>
      </c>
      <c r="Q278" s="5">
        <v>414.99999999999977</v>
      </c>
      <c r="R278" s="5">
        <v>444.07568359375</v>
      </c>
      <c r="S278" s="5">
        <v>440.0108642578125</v>
      </c>
      <c r="T278" s="5">
        <v>506.56900210319463</v>
      </c>
      <c r="U278" s="5">
        <v>415.84533106072456</v>
      </c>
      <c r="V278" s="5">
        <v>361.63739161036477</v>
      </c>
      <c r="W278" s="5">
        <v>404.29786488131248</v>
      </c>
    </row>
    <row r="279" spans="1:25">
      <c r="A279">
        <v>108</v>
      </c>
      <c r="B279">
        <v>8</v>
      </c>
      <c r="C279">
        <v>351</v>
      </c>
      <c r="D279">
        <v>77.84</v>
      </c>
      <c r="E279">
        <v>3</v>
      </c>
      <c r="F279">
        <v>1906</v>
      </c>
      <c r="G279" s="35">
        <v>1894.555892383479</v>
      </c>
      <c r="H279" s="5">
        <v>2394.4194171664149</v>
      </c>
      <c r="I279" s="5">
        <v>2394.4198536130698</v>
      </c>
      <c r="J279" s="5">
        <v>2394.3915936710559</v>
      </c>
      <c r="K279" s="5">
        <v>1724.0619999999999</v>
      </c>
      <c r="L279" s="5">
        <v>1882.0550723859469</v>
      </c>
      <c r="M279" s="5">
        <v>1895.8171521035599</v>
      </c>
      <c r="N279" s="5">
        <v>1859.8748608805161</v>
      </c>
      <c r="O279" s="5">
        <v>1867.6104866484229</v>
      </c>
      <c r="P279">
        <v>1911.3801997672131</v>
      </c>
      <c r="Q279" s="5">
        <v>1802.444965287827</v>
      </c>
      <c r="R279" s="5">
        <v>1896.714111328125</v>
      </c>
      <c r="S279" s="5">
        <v>1820.6112060546875</v>
      </c>
      <c r="T279" s="5">
        <v>1966.1228185084879</v>
      </c>
      <c r="U279" s="5">
        <v>1946.5478984282713</v>
      </c>
      <c r="V279" s="5">
        <v>1721.1303251364041</v>
      </c>
    </row>
    <row r="280" spans="1:25">
      <c r="A280">
        <v>114.43</v>
      </c>
      <c r="B280">
        <v>3.98</v>
      </c>
      <c r="C280">
        <v>343</v>
      </c>
      <c r="D280">
        <v>25.12</v>
      </c>
      <c r="E280">
        <v>2.6216901162282622</v>
      </c>
      <c r="F280">
        <v>948</v>
      </c>
      <c r="G280" s="35">
        <v>980.28862293994075</v>
      </c>
      <c r="H280" s="5">
        <v>489.06814781890529</v>
      </c>
      <c r="I280" s="5">
        <v>489.06858881702561</v>
      </c>
      <c r="J280" s="5">
        <v>489.12532296329317</v>
      </c>
      <c r="K280" s="5">
        <v>978.50140023792312</v>
      </c>
      <c r="L280" s="5">
        <v>1019.867886138082</v>
      </c>
      <c r="M280" s="5">
        <v>1023.948323816446</v>
      </c>
      <c r="N280" s="5">
        <v>816.80960078269118</v>
      </c>
      <c r="O280" s="5">
        <v>837.63581025977442</v>
      </c>
      <c r="P280">
        <v>857.91769034901097</v>
      </c>
      <c r="Q280" s="5">
        <v>972.25642592923009</v>
      </c>
      <c r="R280" s="5">
        <v>894.36199951171875</v>
      </c>
      <c r="S280" s="5">
        <v>977.1466064453125</v>
      </c>
      <c r="T280" s="5">
        <v>1069.9504246833974</v>
      </c>
      <c r="U280" s="5">
        <v>991.02275865179695</v>
      </c>
      <c r="V280" s="5">
        <v>885.8329512277902</v>
      </c>
      <c r="W280" s="5">
        <v>858.07485682423953</v>
      </c>
      <c r="Y280" s="5">
        <v>682.88499399591456</v>
      </c>
    </row>
    <row r="281" spans="1:25">
      <c r="A281">
        <v>150</v>
      </c>
      <c r="B281">
        <v>3</v>
      </c>
      <c r="C281">
        <v>324.39999999999998</v>
      </c>
      <c r="D281">
        <v>42.080000000000013</v>
      </c>
      <c r="E281">
        <v>4.5</v>
      </c>
      <c r="F281">
        <v>1462</v>
      </c>
      <c r="G281" s="35">
        <v>1523.774990066994</v>
      </c>
      <c r="H281" s="5">
        <v>1695.6846116098441</v>
      </c>
      <c r="I281" s="5">
        <v>1695.684529008003</v>
      </c>
      <c r="J281" s="5">
        <v>1695.679138218286</v>
      </c>
      <c r="K281" s="5">
        <v>1214.7319832000001</v>
      </c>
      <c r="L281" s="5">
        <v>1439.7248433886309</v>
      </c>
      <c r="M281" s="5">
        <v>1444.1594004789649</v>
      </c>
      <c r="N281" s="5">
        <v>1431.482904101714</v>
      </c>
      <c r="O281" s="5">
        <v>1546.6885614530599</v>
      </c>
      <c r="P281">
        <v>1448.1859825553629</v>
      </c>
      <c r="Q281" s="5">
        <v>1309.650280570238</v>
      </c>
      <c r="R281" s="5">
        <v>1537.313110351562</v>
      </c>
      <c r="S281" s="5">
        <v>1523.3585205078125</v>
      </c>
      <c r="T281" s="5">
        <v>1384.8022135970891</v>
      </c>
      <c r="U281" s="5">
        <v>1413.4043192746753</v>
      </c>
      <c r="V281" s="5">
        <v>1220.5131611222785</v>
      </c>
      <c r="W281" s="5">
        <v>1187.8120397657467</v>
      </c>
      <c r="X281" s="5">
        <v>1252.1044305971141</v>
      </c>
      <c r="Y281" s="5">
        <v>1080.9926897642499</v>
      </c>
    </row>
    <row r="282" spans="1:25">
      <c r="A282">
        <v>190</v>
      </c>
      <c r="B282">
        <v>1.94</v>
      </c>
      <c r="C282">
        <v>256.39999999999998</v>
      </c>
      <c r="D282">
        <v>108</v>
      </c>
      <c r="E282">
        <v>3.4736842105263159</v>
      </c>
      <c r="F282">
        <v>3360</v>
      </c>
      <c r="G282" s="35">
        <v>2072.5959436826538</v>
      </c>
      <c r="H282" s="5">
        <v>3493.618563045346</v>
      </c>
      <c r="I282" s="5">
        <v>3493.6181050897299</v>
      </c>
      <c r="J282" s="5">
        <v>3493.596568041628</v>
      </c>
      <c r="K282" s="5">
        <v>2830.272727272727</v>
      </c>
      <c r="L282" s="5">
        <v>3031.0556250000009</v>
      </c>
      <c r="M282" s="5">
        <v>3195.953883495145</v>
      </c>
      <c r="N282" s="5">
        <v>3137.4057676628372</v>
      </c>
      <c r="O282" s="5">
        <v>3112.8608278197462</v>
      </c>
      <c r="P282">
        <v>2975.465825186614</v>
      </c>
      <c r="Q282" s="5">
        <v>2772.0271783138378</v>
      </c>
      <c r="R282" s="5">
        <v>3157.66650390625</v>
      </c>
      <c r="S282" s="5">
        <v>3150.74755859375</v>
      </c>
      <c r="T282" s="5">
        <v>3142.7755871094114</v>
      </c>
      <c r="U282" s="5">
        <v>3361.5076109969964</v>
      </c>
      <c r="V282" s="5">
        <v>2790.858964513011</v>
      </c>
    </row>
    <row r="283" spans="1:25">
      <c r="A283">
        <v>100</v>
      </c>
      <c r="B283">
        <v>3</v>
      </c>
      <c r="C283">
        <v>303.5</v>
      </c>
      <c r="D283">
        <v>32.457457285750117</v>
      </c>
      <c r="E283">
        <v>3</v>
      </c>
      <c r="F283">
        <v>780</v>
      </c>
      <c r="G283" s="35">
        <v>780.66666666666663</v>
      </c>
      <c r="H283" s="5">
        <v>-127.2486577308277</v>
      </c>
      <c r="I283" s="5">
        <v>-127.24824078072881</v>
      </c>
      <c r="J283" s="5">
        <v>-127.21266597068281</v>
      </c>
      <c r="K283" s="5">
        <v>773.5</v>
      </c>
      <c r="L283" s="5">
        <v>774.94335722529536</v>
      </c>
      <c r="M283" s="5">
        <v>779.24092773252539</v>
      </c>
      <c r="N283" s="5">
        <v>747.22920325661505</v>
      </c>
      <c r="O283" s="5">
        <v>767.70033441176531</v>
      </c>
      <c r="P283">
        <v>751.76471141495369</v>
      </c>
      <c r="Q283" s="5">
        <v>724.24970149872934</v>
      </c>
      <c r="R283" s="5">
        <v>777.9178466796875</v>
      </c>
      <c r="S283" s="5">
        <v>752.7723388671875</v>
      </c>
      <c r="T283" s="5">
        <v>784.62523113556176</v>
      </c>
      <c r="U283" s="5">
        <v>674.73396984035924</v>
      </c>
      <c r="V283" s="5">
        <v>594.58538281739277</v>
      </c>
      <c r="W283" s="5">
        <v>629.45225878916744</v>
      </c>
      <c r="X283" s="5">
        <v>629.33383803399397</v>
      </c>
      <c r="Y283" s="5">
        <v>488.35470424307027</v>
      </c>
    </row>
    <row r="284" spans="1:25">
      <c r="A284">
        <v>168.8</v>
      </c>
      <c r="B284">
        <v>2.64</v>
      </c>
      <c r="C284">
        <v>302.39999999999998</v>
      </c>
      <c r="D284">
        <v>34.700000000000003</v>
      </c>
      <c r="E284">
        <v>1.8068720379146921</v>
      </c>
      <c r="F284">
        <v>1219</v>
      </c>
      <c r="G284" s="35">
        <v>1306.723322354678</v>
      </c>
      <c r="H284" s="5">
        <v>1749.8532138680109</v>
      </c>
      <c r="I284" s="5">
        <v>1749.853423090422</v>
      </c>
      <c r="J284" s="5">
        <v>1749.9332926755651</v>
      </c>
      <c r="K284" s="5">
        <v>1394.632537084862</v>
      </c>
      <c r="L284" s="5">
        <v>1376.4555961775179</v>
      </c>
      <c r="M284" s="5">
        <v>1337.7613068109531</v>
      </c>
      <c r="N284" s="5">
        <v>1315.0608609459359</v>
      </c>
      <c r="O284" s="5">
        <v>1363.5002934912709</v>
      </c>
      <c r="P284">
        <v>1290.249252867997</v>
      </c>
      <c r="Q284" s="5">
        <v>1413.656480005078</v>
      </c>
      <c r="R284" s="5">
        <v>1311.288940429688</v>
      </c>
      <c r="S284" s="5">
        <v>1205.662841796875</v>
      </c>
      <c r="T284" s="5">
        <v>1338.7689632411573</v>
      </c>
      <c r="U284" s="5">
        <v>1403.8346652959074</v>
      </c>
      <c r="V284" s="5">
        <v>1206.7236430874498</v>
      </c>
      <c r="W284" s="5">
        <v>1181.4582888320135</v>
      </c>
      <c r="X284" s="5">
        <v>1405.4631338156421</v>
      </c>
      <c r="Y284" s="5">
        <v>1105.931952985394</v>
      </c>
    </row>
    <row r="285" spans="1:25">
      <c r="A285">
        <v>149</v>
      </c>
      <c r="B285">
        <v>2.96</v>
      </c>
      <c r="C285">
        <v>308</v>
      </c>
      <c r="D285">
        <v>40.5</v>
      </c>
      <c r="E285">
        <v>3</v>
      </c>
      <c r="F285">
        <v>1064</v>
      </c>
      <c r="G285" s="35">
        <v>1110.7130957269881</v>
      </c>
      <c r="H285" s="5">
        <v>1420.842867138454</v>
      </c>
      <c r="I285" s="5">
        <v>1420.843024059395</v>
      </c>
      <c r="J285" s="5">
        <v>1420.886562521614</v>
      </c>
      <c r="K285" s="5">
        <v>1467</v>
      </c>
      <c r="L285" s="5">
        <v>1405.652640608386</v>
      </c>
      <c r="M285" s="5">
        <v>1523.5911617711829</v>
      </c>
      <c r="N285" s="5">
        <v>1252.335523200313</v>
      </c>
      <c r="O285" s="5">
        <v>1313.9228551618701</v>
      </c>
      <c r="P285">
        <v>1305.6134300839001</v>
      </c>
      <c r="Q285" s="5">
        <v>1318.6524163473871</v>
      </c>
      <c r="R285" s="5">
        <v>1268.627563476562</v>
      </c>
      <c r="S285" s="5">
        <v>1537.6614990234375</v>
      </c>
      <c r="T285" s="5">
        <v>1393.8786888265035</v>
      </c>
      <c r="U285" s="5">
        <v>1328.7915287047672</v>
      </c>
      <c r="V285" s="5">
        <v>1146.6101097344451</v>
      </c>
      <c r="W285" s="5">
        <v>1118.7703195551287</v>
      </c>
      <c r="X285" s="5">
        <v>1256.2965865151509</v>
      </c>
      <c r="Y285" s="5">
        <v>1028.974833797042</v>
      </c>
    </row>
    <row r="286" spans="1:25">
      <c r="A286">
        <v>360</v>
      </c>
      <c r="B286">
        <v>4.54</v>
      </c>
      <c r="C286">
        <v>525</v>
      </c>
      <c r="D286">
        <v>41.1</v>
      </c>
      <c r="E286">
        <v>3</v>
      </c>
      <c r="F286">
        <v>7045</v>
      </c>
      <c r="G286" s="35">
        <v>4813.6911814213063</v>
      </c>
      <c r="H286" s="5">
        <v>9446.4267614194086</v>
      </c>
      <c r="I286" s="5">
        <v>9446.4255536604887</v>
      </c>
      <c r="J286" s="5">
        <v>9446.3535688579232</v>
      </c>
      <c r="K286" s="5">
        <v>4535.7142857142853</v>
      </c>
      <c r="L286" s="5">
        <v>7803.516121540215</v>
      </c>
      <c r="M286" s="5">
        <v>6809.1986731444531</v>
      </c>
      <c r="N286" s="5">
        <v>9073.2485974389547</v>
      </c>
      <c r="O286" s="5">
        <v>6355.8238789757506</v>
      </c>
      <c r="P286">
        <v>7508.823317016524</v>
      </c>
      <c r="Q286" s="5">
        <v>6870</v>
      </c>
      <c r="R286" s="5">
        <v>7315.35498046875</v>
      </c>
      <c r="S286" s="5">
        <v>6406.49169921875</v>
      </c>
      <c r="T286" s="5">
        <v>7142.7905879569034</v>
      </c>
      <c r="U286" s="5">
        <v>8020.8518515376572</v>
      </c>
      <c r="V286" s="5">
        <v>7165.658692257869</v>
      </c>
      <c r="W286" s="5">
        <v>6594.822261173138</v>
      </c>
      <c r="Y286" s="5">
        <v>5356.8203790413136</v>
      </c>
    </row>
    <row r="287" spans="1:25">
      <c r="A287">
        <v>106</v>
      </c>
      <c r="B287">
        <v>3</v>
      </c>
      <c r="C287">
        <v>298.89999999999998</v>
      </c>
      <c r="D287">
        <v>43.21</v>
      </c>
      <c r="E287">
        <v>2.6226415094339619</v>
      </c>
      <c r="F287">
        <v>848</v>
      </c>
      <c r="G287" s="35">
        <v>767.33333333333337</v>
      </c>
      <c r="H287" s="5">
        <v>202.7179482155943</v>
      </c>
      <c r="I287" s="5">
        <v>202.71834341197109</v>
      </c>
      <c r="J287" s="5">
        <v>202.75669449243469</v>
      </c>
      <c r="K287" s="5">
        <v>738.55714285714282</v>
      </c>
      <c r="L287" s="5">
        <v>823.63791578546477</v>
      </c>
      <c r="M287" s="5">
        <v>846.84544136230534</v>
      </c>
      <c r="N287" s="5">
        <v>803.51381597638317</v>
      </c>
      <c r="O287" s="5">
        <v>804.46715662799738</v>
      </c>
      <c r="P287">
        <v>818.77039379701523</v>
      </c>
      <c r="Q287" s="5">
        <v>817.52929384447827</v>
      </c>
      <c r="R287" s="5">
        <v>770.18426513671875</v>
      </c>
      <c r="S287" s="5">
        <v>741.5791015625</v>
      </c>
      <c r="T287" s="5">
        <v>932.23277694360263</v>
      </c>
      <c r="U287" s="5">
        <v>809.42620126864358</v>
      </c>
      <c r="V287" s="5">
        <v>704.96187236282651</v>
      </c>
      <c r="W287" s="5">
        <v>783.97948944429447</v>
      </c>
      <c r="X287" s="5">
        <v>770.97606311637958</v>
      </c>
      <c r="Y287" s="5">
        <v>609.29762474671918</v>
      </c>
    </row>
    <row r="288" spans="1:25">
      <c r="A288">
        <v>101.8</v>
      </c>
      <c r="B288">
        <v>2.94</v>
      </c>
      <c r="C288">
        <v>320</v>
      </c>
      <c r="D288">
        <v>18</v>
      </c>
      <c r="E288">
        <v>1.9646365422396861</v>
      </c>
      <c r="F288">
        <v>628</v>
      </c>
      <c r="G288" s="35">
        <v>1091.4539837612219</v>
      </c>
      <c r="H288" s="5">
        <v>-475.93112494853449</v>
      </c>
      <c r="I288" s="5">
        <v>-475.93047599443838</v>
      </c>
      <c r="J288" s="5">
        <v>-475.82763773243408</v>
      </c>
      <c r="K288" s="5">
        <v>663.5</v>
      </c>
      <c r="L288" s="5">
        <v>700.72356266772692</v>
      </c>
      <c r="M288" s="5">
        <v>632.13939725229739</v>
      </c>
      <c r="N288" s="5">
        <v>506.03298856307532</v>
      </c>
      <c r="O288" s="5">
        <v>564.78174906968354</v>
      </c>
      <c r="P288">
        <v>561.11095185213298</v>
      </c>
      <c r="Q288" s="5">
        <v>734.57815897023443</v>
      </c>
      <c r="R288" s="5">
        <v>549.27960205078125</v>
      </c>
      <c r="S288" s="5">
        <v>665.1287841796875</v>
      </c>
      <c r="T288" s="5">
        <v>780.75333125336113</v>
      </c>
      <c r="U288" s="5">
        <v>603.42153259134659</v>
      </c>
      <c r="V288" s="5">
        <v>540.52128999691229</v>
      </c>
      <c r="W288" s="5">
        <v>510.60138287436473</v>
      </c>
    </row>
    <row r="289" spans="1:25">
      <c r="A289">
        <v>127</v>
      </c>
      <c r="B289">
        <v>2</v>
      </c>
      <c r="C289">
        <v>258</v>
      </c>
      <c r="D289">
        <v>106.02</v>
      </c>
      <c r="E289">
        <v>3.5039370078740162</v>
      </c>
      <c r="F289">
        <v>1491</v>
      </c>
      <c r="G289" s="35">
        <v>1339</v>
      </c>
      <c r="H289" s="5">
        <v>1591.6220436661661</v>
      </c>
      <c r="I289" s="5">
        <v>1591.622003661173</v>
      </c>
      <c r="J289" s="5">
        <v>1591.617503163812</v>
      </c>
      <c r="K289" s="5">
        <v>1324.285714285714</v>
      </c>
      <c r="L289" s="5">
        <v>1384.3037581041031</v>
      </c>
      <c r="M289" s="5">
        <v>1339.245954692557</v>
      </c>
      <c r="N289" s="5">
        <v>1448.4829100967261</v>
      </c>
      <c r="O289" s="5">
        <v>1403.9667142560829</v>
      </c>
      <c r="P289">
        <v>1419.000628539563</v>
      </c>
      <c r="Q289" s="5">
        <v>1381.929198669957</v>
      </c>
      <c r="R289" s="5">
        <v>1349.036376953125</v>
      </c>
      <c r="S289" s="5">
        <v>1580.542724609375</v>
      </c>
      <c r="T289" s="5">
        <v>1554.0079046595449</v>
      </c>
      <c r="U289" s="5">
        <v>1551.5513857299402</v>
      </c>
      <c r="V289" s="5">
        <v>1311.0920115613103</v>
      </c>
    </row>
    <row r="290" spans="1:25">
      <c r="A290">
        <v>160</v>
      </c>
      <c r="B290">
        <v>6.3</v>
      </c>
      <c r="C290">
        <v>482.5</v>
      </c>
      <c r="D290">
        <v>58.410003733128462</v>
      </c>
      <c r="E290">
        <v>2.9750000000000001</v>
      </c>
      <c r="F290">
        <v>2380</v>
      </c>
      <c r="G290" s="35">
        <v>2512.2651085278558</v>
      </c>
      <c r="H290" s="5">
        <v>3659.704174533555</v>
      </c>
      <c r="I290" s="5">
        <v>3659.704202656887</v>
      </c>
      <c r="J290" s="5">
        <v>3659.663365707936</v>
      </c>
      <c r="K290" s="5">
        <v>3050.8393338664159</v>
      </c>
      <c r="L290" s="5">
        <v>2635.3386242247411</v>
      </c>
      <c r="M290" s="5">
        <v>2421.296116504855</v>
      </c>
      <c r="N290" s="5">
        <v>2801.7931247771171</v>
      </c>
      <c r="O290" s="5">
        <v>2546.1260325592939</v>
      </c>
      <c r="P290">
        <v>2606.617689027184</v>
      </c>
      <c r="Q290" s="5">
        <v>2756.936313365155</v>
      </c>
      <c r="R290" s="5">
        <v>2574.753173828125</v>
      </c>
      <c r="S290" s="5">
        <v>2659.673095703125</v>
      </c>
      <c r="T290" s="5">
        <v>3220.6288174125757</v>
      </c>
      <c r="U290" s="5">
        <v>3374.5246104514331</v>
      </c>
      <c r="V290" s="5">
        <v>2986.1932871576064</v>
      </c>
      <c r="W290" s="5">
        <v>3058.2131661689482</v>
      </c>
      <c r="Y290" s="5">
        <v>2392.7823222815041</v>
      </c>
    </row>
    <row r="291" spans="1:25">
      <c r="A291">
        <v>320</v>
      </c>
      <c r="B291">
        <v>7</v>
      </c>
      <c r="C291">
        <v>249.9</v>
      </c>
      <c r="D291">
        <v>46.57</v>
      </c>
      <c r="E291">
        <v>1.625</v>
      </c>
      <c r="F291">
        <v>5890</v>
      </c>
      <c r="G291" s="35">
        <v>6380</v>
      </c>
      <c r="H291" s="5">
        <v>7978.5284250110799</v>
      </c>
      <c r="I291" s="5">
        <v>7978.5279086775017</v>
      </c>
      <c r="J291" s="5">
        <v>7978.5579312256123</v>
      </c>
      <c r="K291" s="5">
        <v>5719.1602945748709</v>
      </c>
      <c r="L291" s="5">
        <v>6449.0730596293479</v>
      </c>
      <c r="M291" s="5">
        <v>6380</v>
      </c>
      <c r="N291" s="5">
        <v>7026.2471441698744</v>
      </c>
      <c r="O291" s="5">
        <v>6305.380945115141</v>
      </c>
      <c r="P291">
        <v>6381.9073144916374</v>
      </c>
      <c r="Q291" s="5">
        <v>6676.3128549240919</v>
      </c>
      <c r="R291" s="5">
        <v>6378.43017578125</v>
      </c>
      <c r="S291" s="5">
        <v>6071.59814453125</v>
      </c>
      <c r="T291" s="5">
        <v>6756.2189557966658</v>
      </c>
      <c r="U291" s="5">
        <v>6211.4224968130529</v>
      </c>
      <c r="V291" s="5">
        <v>5312.067074998703</v>
      </c>
      <c r="W291" s="5">
        <v>5703.5914048183577</v>
      </c>
      <c r="X291" s="5">
        <v>6238.0193569524663</v>
      </c>
      <c r="Y291" s="5">
        <v>4963.0635461298107</v>
      </c>
    </row>
    <row r="292" spans="1:25">
      <c r="A292">
        <v>105.1</v>
      </c>
      <c r="B292">
        <v>2.85</v>
      </c>
      <c r="C292">
        <v>264.89999999999998</v>
      </c>
      <c r="D292">
        <v>18.399999999999999</v>
      </c>
      <c r="E292">
        <v>2.9495718363463368</v>
      </c>
      <c r="F292">
        <v>550</v>
      </c>
      <c r="G292" s="35">
        <v>618.17674256738064</v>
      </c>
      <c r="H292" s="5">
        <v>-433.65395971982929</v>
      </c>
      <c r="I292" s="5">
        <v>-433.6534755805219</v>
      </c>
      <c r="J292" s="5">
        <v>-433.57334254809803</v>
      </c>
      <c r="K292" s="5">
        <v>676</v>
      </c>
      <c r="L292" s="5">
        <v>645.38418841022462</v>
      </c>
      <c r="M292" s="5">
        <v>654.60867628128142</v>
      </c>
      <c r="N292" s="5">
        <v>531.97236565119135</v>
      </c>
      <c r="O292" s="5">
        <v>485.00877499315112</v>
      </c>
      <c r="P292">
        <v>556.54089996875666</v>
      </c>
      <c r="Q292" s="5">
        <v>672.04045236790114</v>
      </c>
      <c r="R292" s="5">
        <v>563.95465087890625</v>
      </c>
      <c r="S292" s="5">
        <v>571.3267822265625</v>
      </c>
      <c r="T292" s="5">
        <v>666.37491194649067</v>
      </c>
      <c r="U292" s="5">
        <v>535.65987368218487</v>
      </c>
      <c r="V292" s="5">
        <v>476.58724127670348</v>
      </c>
      <c r="W292" s="5">
        <v>470.41988840380697</v>
      </c>
    </row>
    <row r="293" spans="1:25">
      <c r="A293">
        <v>114.3</v>
      </c>
      <c r="B293">
        <v>3.35</v>
      </c>
      <c r="C293">
        <v>287.33</v>
      </c>
      <c r="D293">
        <v>55.021479750811103</v>
      </c>
      <c r="E293">
        <v>3</v>
      </c>
      <c r="F293">
        <v>952</v>
      </c>
      <c r="G293" s="35">
        <v>1283.4190670610001</v>
      </c>
      <c r="H293" s="5">
        <v>733.87090381527446</v>
      </c>
      <c r="I293" s="5">
        <v>733.87119589420786</v>
      </c>
      <c r="J293" s="5">
        <v>733.89455581030529</v>
      </c>
      <c r="K293" s="5">
        <v>914.85714285714289</v>
      </c>
      <c r="L293" s="5">
        <v>964.81461644067087</v>
      </c>
      <c r="M293" s="5">
        <v>934.77025601016896</v>
      </c>
      <c r="N293" s="5">
        <v>986.44959033932003</v>
      </c>
      <c r="O293" s="5">
        <v>1002.873739329837</v>
      </c>
      <c r="P293">
        <v>974.18502674344779</v>
      </c>
      <c r="Q293" s="5">
        <v>1061.297227928987</v>
      </c>
      <c r="R293" s="5">
        <v>942.44610595703125</v>
      </c>
      <c r="S293" s="5">
        <v>974.568115234375</v>
      </c>
      <c r="T293" s="5">
        <v>1137.9197457656728</v>
      </c>
      <c r="U293" s="5">
        <v>1043.8417067341397</v>
      </c>
      <c r="V293" s="5">
        <v>901.39014867310084</v>
      </c>
      <c r="W293" s="5">
        <v>1021.2172390142316</v>
      </c>
      <c r="X293" s="5">
        <v>978.36809627826949</v>
      </c>
      <c r="Y293" s="5">
        <v>804.776464597217</v>
      </c>
    </row>
    <row r="294" spans="1:25">
      <c r="A294">
        <v>150</v>
      </c>
      <c r="B294">
        <v>2</v>
      </c>
      <c r="C294">
        <v>404</v>
      </c>
      <c r="D294">
        <v>72</v>
      </c>
      <c r="E294">
        <v>3</v>
      </c>
      <c r="F294">
        <v>1910</v>
      </c>
      <c r="G294" s="35">
        <v>2193.6973673908492</v>
      </c>
      <c r="H294" s="5">
        <v>2110.9342894666902</v>
      </c>
      <c r="I294" s="5">
        <v>2110.9341627414442</v>
      </c>
      <c r="J294" s="5">
        <v>2110.9314836201679</v>
      </c>
      <c r="K294" s="5">
        <v>2218.0461538461541</v>
      </c>
      <c r="L294" s="5">
        <v>1897.5488086820581</v>
      </c>
      <c r="M294" s="5">
        <v>1876.4858476474981</v>
      </c>
      <c r="N294" s="5">
        <v>1912.727818383886</v>
      </c>
      <c r="O294" s="5">
        <v>2074.964953954448</v>
      </c>
      <c r="P294">
        <v>1980.202047453233</v>
      </c>
      <c r="Q294" s="5">
        <v>1984.841006427295</v>
      </c>
      <c r="R294" s="5">
        <v>1932.381103515625</v>
      </c>
      <c r="S294" s="5">
        <v>1891.3160400390625</v>
      </c>
      <c r="T294" s="5">
        <v>1895.1742607653825</v>
      </c>
      <c r="U294" s="5">
        <v>1813.9998318073092</v>
      </c>
      <c r="V294" s="5">
        <v>1526.8018374557323</v>
      </c>
      <c r="W294" s="5">
        <v>1592.4317327340741</v>
      </c>
    </row>
    <row r="295" spans="1:25">
      <c r="A295">
        <v>47.28</v>
      </c>
      <c r="B295">
        <v>1.87</v>
      </c>
      <c r="C295">
        <v>360</v>
      </c>
      <c r="D295">
        <v>20.404079254954059</v>
      </c>
      <c r="E295">
        <v>7.1912013536379016</v>
      </c>
      <c r="F295">
        <v>215</v>
      </c>
      <c r="G295" s="35">
        <v>167.83339311487251</v>
      </c>
      <c r="H295" s="5">
        <v>-1824.630038628017</v>
      </c>
      <c r="I295" s="5">
        <v>-1824.629829217738</v>
      </c>
      <c r="J295" s="5">
        <v>-1824.669640241676</v>
      </c>
      <c r="K295" s="5">
        <v>186.4545454545455</v>
      </c>
      <c r="L295" s="5">
        <v>168.0842948717949</v>
      </c>
      <c r="M295" s="5">
        <v>167.88349514563109</v>
      </c>
      <c r="N295" s="5">
        <v>179.98622686019991</v>
      </c>
      <c r="O295" s="5">
        <v>174.85348466129651</v>
      </c>
      <c r="P295">
        <v>171.84610947275499</v>
      </c>
      <c r="Q295" s="5">
        <v>178.66169147301841</v>
      </c>
      <c r="R295" s="5">
        <v>174.3434143066406</v>
      </c>
      <c r="S295" s="5">
        <v>153.63795471191406</v>
      </c>
      <c r="T295" s="5">
        <v>143.11832263078068</v>
      </c>
      <c r="U295" s="5">
        <v>185.96212829830907</v>
      </c>
      <c r="V295" s="5">
        <v>167.51632344667101</v>
      </c>
      <c r="W295" s="5">
        <v>153.4170967682013</v>
      </c>
    </row>
    <row r="296" spans="1:25">
      <c r="A296">
        <v>115.9</v>
      </c>
      <c r="B296">
        <v>4.9000000000000004</v>
      </c>
      <c r="C296">
        <v>309.5</v>
      </c>
      <c r="D296">
        <v>42.7</v>
      </c>
      <c r="E296">
        <v>2.968075927523727</v>
      </c>
      <c r="F296">
        <v>1234</v>
      </c>
      <c r="G296" s="35">
        <v>1113.1875</v>
      </c>
      <c r="H296" s="5">
        <v>982.04442281798151</v>
      </c>
      <c r="I296" s="5">
        <v>982.0448106076085</v>
      </c>
      <c r="J296" s="5">
        <v>982.0788329835118</v>
      </c>
      <c r="K296" s="5">
        <v>1133.714285714286</v>
      </c>
      <c r="L296" s="5">
        <v>1128.530647387274</v>
      </c>
      <c r="M296" s="5">
        <v>1110.868301446792</v>
      </c>
      <c r="N296" s="5">
        <v>1137.420340234891</v>
      </c>
      <c r="O296" s="5">
        <v>1152.6283953463169</v>
      </c>
      <c r="P296">
        <v>1121.3633275878101</v>
      </c>
      <c r="Q296" s="5">
        <v>1192.935598220897</v>
      </c>
      <c r="R296" s="5">
        <v>1153.409912109375</v>
      </c>
      <c r="S296" s="5">
        <v>1133.8546142578125</v>
      </c>
      <c r="T296" s="5">
        <v>1290.744509519483</v>
      </c>
      <c r="U296" s="5">
        <v>1234.2586730817241</v>
      </c>
      <c r="V296" s="5">
        <v>1090.2781856712563</v>
      </c>
      <c r="W296" s="5">
        <v>1140.9698577749632</v>
      </c>
      <c r="X296" s="5">
        <v>1131.9866940109321</v>
      </c>
      <c r="Y296" s="5">
        <v>881.86299676706585</v>
      </c>
    </row>
    <row r="297" spans="1:25">
      <c r="A297">
        <v>90</v>
      </c>
      <c r="B297">
        <v>1.5</v>
      </c>
      <c r="C297">
        <v>328.95</v>
      </c>
      <c r="D297">
        <v>36.874054918194688</v>
      </c>
      <c r="E297">
        <v>3.333333333333333</v>
      </c>
      <c r="F297">
        <v>381.4</v>
      </c>
      <c r="G297" s="35">
        <v>350.9101989977666</v>
      </c>
      <c r="H297" s="5">
        <v>-701.54195474103153</v>
      </c>
      <c r="I297" s="5">
        <v>-701.54160846741252</v>
      </c>
      <c r="J297" s="5">
        <v>-701.50769140992725</v>
      </c>
      <c r="K297" s="5">
        <v>416.20199182545463</v>
      </c>
      <c r="L297" s="5">
        <v>416.62926449605948</v>
      </c>
      <c r="M297" s="5">
        <v>420.7118304456954</v>
      </c>
      <c r="N297" s="5">
        <v>413.27236038729768</v>
      </c>
      <c r="O297" s="5">
        <v>485.94875153854292</v>
      </c>
      <c r="P297">
        <v>460.23295406264458</v>
      </c>
      <c r="Q297" s="5">
        <v>423.2756747299598</v>
      </c>
      <c r="R297" s="5">
        <v>381.87911987304688</v>
      </c>
      <c r="S297" s="5">
        <v>476.694580078125</v>
      </c>
      <c r="T297" s="5">
        <v>544.59059207804205</v>
      </c>
      <c r="U297" s="5">
        <v>441.44803151925936</v>
      </c>
      <c r="V297" s="5">
        <v>380.66679533794189</v>
      </c>
      <c r="W297" s="5">
        <v>384.88630618237391</v>
      </c>
      <c r="X297" s="5">
        <v>412.24782213699052</v>
      </c>
      <c r="Y297" s="5">
        <v>342.03916728004918</v>
      </c>
    </row>
    <row r="298" spans="1:25">
      <c r="A298">
        <v>166</v>
      </c>
      <c r="B298">
        <v>5</v>
      </c>
      <c r="C298">
        <v>288.10000000000002</v>
      </c>
      <c r="D298">
        <v>26.73</v>
      </c>
      <c r="E298">
        <v>6.2650602409638552</v>
      </c>
      <c r="F298">
        <v>1372</v>
      </c>
      <c r="G298" s="35">
        <v>1472.4470319961599</v>
      </c>
      <c r="H298" s="5">
        <v>2536.0382632046699</v>
      </c>
      <c r="I298" s="5">
        <v>2536.038059362299</v>
      </c>
      <c r="J298" s="5">
        <v>2535.9908815568542</v>
      </c>
      <c r="K298" s="5">
        <v>1735.2308288499221</v>
      </c>
      <c r="L298" s="5">
        <v>1573.941341551197</v>
      </c>
      <c r="M298" s="5">
        <v>1449.9872848419141</v>
      </c>
      <c r="N298" s="5">
        <v>1602.078843825268</v>
      </c>
      <c r="O298" s="5">
        <v>1559.474350225094</v>
      </c>
      <c r="P298">
        <v>1543.2041801892581</v>
      </c>
      <c r="Q298" s="5">
        <v>1701.762756344262</v>
      </c>
      <c r="R298" s="5">
        <v>1432.1689453125</v>
      </c>
      <c r="S298" s="5">
        <v>1693.74755859375</v>
      </c>
      <c r="T298" s="5">
        <v>1536.168256246639</v>
      </c>
      <c r="U298" s="5">
        <v>1691.2340878070215</v>
      </c>
      <c r="V298" s="5">
        <v>1496.8643553462982</v>
      </c>
      <c r="W298" s="5">
        <v>1512.1215166204167</v>
      </c>
      <c r="Y298" s="5">
        <v>1183.698139940828</v>
      </c>
    </row>
    <row r="299" spans="1:25">
      <c r="A299">
        <v>166</v>
      </c>
      <c r="B299">
        <v>5</v>
      </c>
      <c r="C299">
        <v>274.58620000000002</v>
      </c>
      <c r="D299">
        <v>26.046462399999999</v>
      </c>
      <c r="E299">
        <v>3.975903614457831</v>
      </c>
      <c r="F299">
        <v>1745.5837050977241</v>
      </c>
      <c r="G299" s="35">
        <v>1696.5504549545301</v>
      </c>
      <c r="H299" s="5">
        <v>2324.571159694729</v>
      </c>
      <c r="I299" s="5">
        <v>2324.5712377179402</v>
      </c>
      <c r="J299" s="5">
        <v>2324.5886720002641</v>
      </c>
      <c r="K299" s="5">
        <v>1843.879204579544</v>
      </c>
      <c r="L299" s="5">
        <v>1797.4317846614331</v>
      </c>
      <c r="M299" s="5">
        <v>1712.050490134317</v>
      </c>
      <c r="N299" s="5">
        <v>1787.1211419093499</v>
      </c>
      <c r="O299" s="5">
        <v>1823.554481644348</v>
      </c>
      <c r="P299">
        <v>1814.6466729755309</v>
      </c>
      <c r="Q299" s="5">
        <v>1738.6325442991219</v>
      </c>
      <c r="R299" s="5">
        <v>1718.256103515625</v>
      </c>
      <c r="S299" s="5">
        <v>1853.7149658203125</v>
      </c>
      <c r="T299" s="5">
        <v>1768.6368561346324</v>
      </c>
      <c r="U299" s="5">
        <v>1622.803950120933</v>
      </c>
      <c r="V299" s="5">
        <v>1435.3714560525693</v>
      </c>
      <c r="W299" s="5">
        <v>1455.3792924595957</v>
      </c>
      <c r="Y299" s="5">
        <v>1155.975808720603</v>
      </c>
    </row>
    <row r="300" spans="1:25">
      <c r="A300">
        <v>76</v>
      </c>
      <c r="B300">
        <v>2.2000000000000002</v>
      </c>
      <c r="C300">
        <v>390</v>
      </c>
      <c r="D300">
        <v>57</v>
      </c>
      <c r="E300">
        <v>3.5</v>
      </c>
      <c r="F300">
        <v>480</v>
      </c>
      <c r="G300" s="35">
        <v>467.5</v>
      </c>
      <c r="H300" s="5">
        <v>-474.97890847015969</v>
      </c>
      <c r="I300" s="5">
        <v>-474.97858086383258</v>
      </c>
      <c r="J300" s="5">
        <v>-474.96832301372109</v>
      </c>
      <c r="K300" s="5">
        <v>402.11015917333327</v>
      </c>
      <c r="L300" s="5">
        <v>487.9845503567206</v>
      </c>
      <c r="M300" s="5">
        <v>467.5</v>
      </c>
      <c r="N300" s="5">
        <v>485.82116595121602</v>
      </c>
      <c r="O300" s="5">
        <v>474.28133773059648</v>
      </c>
      <c r="P300">
        <v>464.93601265971267</v>
      </c>
      <c r="Q300" s="5">
        <v>483.65907162496131</v>
      </c>
      <c r="R300" s="5">
        <v>467.32327270507813</v>
      </c>
      <c r="S300" s="5">
        <v>453.427734375</v>
      </c>
      <c r="T300" s="5">
        <v>630.72675224699651</v>
      </c>
      <c r="U300" s="5">
        <v>551.76585969620385</v>
      </c>
      <c r="V300" s="5">
        <v>480.74952114039081</v>
      </c>
      <c r="W300" s="5">
        <v>535.59849423419337</v>
      </c>
      <c r="X300" s="5">
        <v>495.21560399607881</v>
      </c>
      <c r="Y300" s="5">
        <v>412.04301906144872</v>
      </c>
    </row>
    <row r="301" spans="1:25">
      <c r="A301">
        <v>165</v>
      </c>
      <c r="B301">
        <v>4.5</v>
      </c>
      <c r="C301">
        <v>254.4</v>
      </c>
      <c r="D301">
        <v>33.200000000000003</v>
      </c>
      <c r="E301">
        <v>4</v>
      </c>
      <c r="F301">
        <v>1647</v>
      </c>
      <c r="G301" s="35">
        <v>1845.666666666667</v>
      </c>
      <c r="H301" s="5">
        <v>2190.9799103674891</v>
      </c>
      <c r="I301" s="5">
        <v>2190.9799572606448</v>
      </c>
      <c r="J301" s="5">
        <v>2190.99857682638</v>
      </c>
      <c r="K301" s="5">
        <v>1918.64037967431</v>
      </c>
      <c r="L301" s="5">
        <v>1773.7018465760871</v>
      </c>
      <c r="M301" s="5">
        <v>1756.2256596209711</v>
      </c>
      <c r="N301" s="5">
        <v>1732.415569670738</v>
      </c>
      <c r="O301" s="5">
        <v>1635.2896768331659</v>
      </c>
      <c r="P301">
        <v>1417.640479738219</v>
      </c>
      <c r="Q301" s="5">
        <v>1584.982142194262</v>
      </c>
      <c r="R301" s="5">
        <v>1645.757934570312</v>
      </c>
      <c r="S301" s="5">
        <v>1831.95361328125</v>
      </c>
      <c r="T301" s="5">
        <v>1681.8136466377048</v>
      </c>
      <c r="U301" s="5">
        <v>1569.691265295811</v>
      </c>
      <c r="V301" s="5">
        <v>1370.1233773500201</v>
      </c>
      <c r="W301" s="5">
        <v>1471.3929510398623</v>
      </c>
      <c r="X301" s="5">
        <v>1422.798313410246</v>
      </c>
      <c r="Y301" s="5">
        <v>1167.697428373192</v>
      </c>
    </row>
    <row r="302" spans="1:25">
      <c r="A302">
        <v>165</v>
      </c>
      <c r="B302">
        <v>1</v>
      </c>
      <c r="C302">
        <v>338</v>
      </c>
      <c r="D302">
        <v>49.777395755965507</v>
      </c>
      <c r="E302">
        <v>3.0303030303030298</v>
      </c>
      <c r="F302">
        <v>2038.4</v>
      </c>
      <c r="G302" s="35">
        <v>1572.9</v>
      </c>
      <c r="H302" s="5">
        <v>1797.353636728521</v>
      </c>
      <c r="I302" s="5">
        <v>1797.3534976816479</v>
      </c>
      <c r="J302" s="5">
        <v>1797.3897356670759</v>
      </c>
      <c r="K302" s="5">
        <v>1755.288888888889</v>
      </c>
      <c r="L302" s="5">
        <v>1651.1854218500721</v>
      </c>
      <c r="M302" s="5">
        <v>1578.618857356237</v>
      </c>
      <c r="N302" s="5">
        <v>1613.9358232478451</v>
      </c>
      <c r="O302" s="5">
        <v>1586.965726781478</v>
      </c>
      <c r="P302">
        <v>1623.540520795498</v>
      </c>
      <c r="Q302" s="5">
        <v>1657.785986395276</v>
      </c>
      <c r="R302" s="5">
        <v>1558.702880859375</v>
      </c>
      <c r="S302" s="5">
        <v>1812.4803466796875</v>
      </c>
      <c r="T302" s="5">
        <v>1592.2376685186712</v>
      </c>
      <c r="U302" s="5">
        <v>1320.8315707709603</v>
      </c>
      <c r="V302" s="5">
        <v>1091.9763325244624</v>
      </c>
      <c r="Y302" s="5">
        <v>880.16539611456244</v>
      </c>
    </row>
    <row r="303" spans="1:25">
      <c r="A303">
        <v>114</v>
      </c>
      <c r="B303">
        <v>3.2</v>
      </c>
      <c r="C303">
        <v>353.6</v>
      </c>
      <c r="D303">
        <v>46.62684432889197</v>
      </c>
      <c r="E303">
        <v>2.9561403508771931</v>
      </c>
      <c r="F303">
        <v>1090</v>
      </c>
      <c r="G303" s="35">
        <v>1103.346684105866</v>
      </c>
      <c r="H303" s="5">
        <v>639.57361678625648</v>
      </c>
      <c r="I303" s="5">
        <v>639.5739299229283</v>
      </c>
      <c r="J303" s="5">
        <v>639.61114428740393</v>
      </c>
      <c r="K303" s="5">
        <v>1014.885714285714</v>
      </c>
      <c r="L303" s="5">
        <v>1070.2895500091711</v>
      </c>
      <c r="M303" s="5">
        <v>1093.5429657882571</v>
      </c>
      <c r="N303" s="5">
        <v>1072.0708317801329</v>
      </c>
      <c r="O303" s="5">
        <v>1114.3137571524931</v>
      </c>
      <c r="P303">
        <v>1202.5937935189579</v>
      </c>
      <c r="Q303" s="5">
        <v>1090.3188497827091</v>
      </c>
      <c r="R303" s="5">
        <v>1150.064208984375</v>
      </c>
      <c r="S303" s="5">
        <v>987.352294921875</v>
      </c>
      <c r="T303" s="5">
        <v>1134.3746366012838</v>
      </c>
      <c r="U303" s="5">
        <v>1062.052835594691</v>
      </c>
      <c r="V303" s="5">
        <v>927.60836288360429</v>
      </c>
      <c r="W303" s="5">
        <v>1015.5061983991098</v>
      </c>
      <c r="X303" s="5">
        <v>985.91012431083004</v>
      </c>
      <c r="Y303" s="5">
        <v>790.64050756973711</v>
      </c>
    </row>
    <row r="304" spans="1:25">
      <c r="A304">
        <v>372</v>
      </c>
      <c r="B304">
        <v>3.64</v>
      </c>
      <c r="C304">
        <v>320</v>
      </c>
      <c r="D304">
        <v>73.2</v>
      </c>
      <c r="E304">
        <v>2</v>
      </c>
      <c r="F304">
        <v>9604</v>
      </c>
      <c r="G304" s="35">
        <v>9579.5</v>
      </c>
      <c r="H304" s="5">
        <v>9260.1800691523349</v>
      </c>
      <c r="I304" s="5">
        <v>9260.1789260982059</v>
      </c>
      <c r="J304" s="5">
        <v>9260.2352800362314</v>
      </c>
      <c r="K304" s="5">
        <v>11251.857142857139</v>
      </c>
      <c r="L304" s="5">
        <v>9279.2658012820484</v>
      </c>
      <c r="M304" s="5">
        <v>9579.5</v>
      </c>
      <c r="N304" s="5">
        <v>10424.715194024509</v>
      </c>
      <c r="O304" s="5">
        <v>9809.4085316667879</v>
      </c>
      <c r="P304">
        <v>9460.9618992926808</v>
      </c>
      <c r="Q304" s="5">
        <v>9546.9555880395746</v>
      </c>
      <c r="R304" s="5">
        <v>9576.2822265625</v>
      </c>
      <c r="S304" s="5">
        <v>9708.390625</v>
      </c>
      <c r="T304" s="5">
        <v>9793.2948789714046</v>
      </c>
      <c r="U304" s="5">
        <v>9831.1897616435181</v>
      </c>
      <c r="V304" s="5">
        <v>8137.2270384852072</v>
      </c>
    </row>
    <row r="305" spans="1:25">
      <c r="A305">
        <v>90</v>
      </c>
      <c r="B305">
        <v>1</v>
      </c>
      <c r="C305">
        <v>328.95</v>
      </c>
      <c r="D305">
        <v>34.826048751810887</v>
      </c>
      <c r="E305">
        <v>3.333333333333333</v>
      </c>
      <c r="F305">
        <v>341.9</v>
      </c>
      <c r="G305" s="35">
        <v>347.65</v>
      </c>
      <c r="H305" s="5">
        <v>-956.30209842604154</v>
      </c>
      <c r="I305" s="5">
        <v>-956.30176586004382</v>
      </c>
      <c r="J305" s="5">
        <v>-956.24927483163447</v>
      </c>
      <c r="K305" s="5">
        <v>402.11015917333327</v>
      </c>
      <c r="L305" s="5">
        <v>350.5039029879436</v>
      </c>
      <c r="M305" s="5">
        <v>347.65000000000049</v>
      </c>
      <c r="N305" s="5">
        <v>354.00093730589271</v>
      </c>
      <c r="O305" s="5">
        <v>343.75816831623661</v>
      </c>
      <c r="P305">
        <v>351.05964682727881</v>
      </c>
      <c r="Q305" s="5">
        <v>374.24801773593998</v>
      </c>
      <c r="R305" s="5">
        <v>347.996337890625</v>
      </c>
      <c r="S305" s="5">
        <v>279.5667724609375</v>
      </c>
      <c r="T305" s="5">
        <v>469.82837706528153</v>
      </c>
      <c r="U305" s="5">
        <v>360.8158161860901</v>
      </c>
      <c r="V305" s="5">
        <v>307.2051097662042</v>
      </c>
      <c r="W305" s="5">
        <v>322.16206587978792</v>
      </c>
      <c r="Y305" s="5">
        <v>290.02861644816301</v>
      </c>
    </row>
    <row r="306" spans="1:25">
      <c r="A306">
        <v>450</v>
      </c>
      <c r="B306">
        <v>2.96</v>
      </c>
      <c r="C306">
        <v>279</v>
      </c>
      <c r="D306">
        <v>41.1</v>
      </c>
      <c r="E306">
        <v>3</v>
      </c>
      <c r="F306">
        <v>6870</v>
      </c>
      <c r="G306" s="35">
        <v>3934.0275929467471</v>
      </c>
      <c r="H306" s="5">
        <v>11062.14690737833</v>
      </c>
      <c r="I306" s="5">
        <v>11062.145260609121</v>
      </c>
      <c r="J306" s="5">
        <v>11062.14355926037</v>
      </c>
      <c r="K306" s="5">
        <v>5719.1602945748709</v>
      </c>
      <c r="L306" s="5">
        <v>9358.6570562402594</v>
      </c>
      <c r="M306" s="5">
        <v>6268.7160194174758</v>
      </c>
      <c r="N306" s="5">
        <v>5260.2371778217894</v>
      </c>
      <c r="O306" s="5">
        <v>4850.9601164461756</v>
      </c>
      <c r="P306">
        <v>5846.1065112047199</v>
      </c>
      <c r="Q306" s="5">
        <v>4415.0000000000027</v>
      </c>
      <c r="R306" s="5">
        <v>5366.09814453125</v>
      </c>
      <c r="S306" s="5">
        <v>7247.962890625</v>
      </c>
      <c r="T306" s="5">
        <v>7181.0129896920698</v>
      </c>
      <c r="U306" s="5">
        <v>8244.73196624718</v>
      </c>
      <c r="V306" s="5">
        <v>6830.8374194404159</v>
      </c>
      <c r="Y306" s="5">
        <v>5547.730368486199</v>
      </c>
    </row>
    <row r="307" spans="1:25">
      <c r="A307">
        <v>108</v>
      </c>
      <c r="B307">
        <v>4</v>
      </c>
      <c r="C307">
        <v>339.11395700000003</v>
      </c>
      <c r="D307">
        <v>28.244132664999999</v>
      </c>
      <c r="E307">
        <v>6</v>
      </c>
      <c r="F307">
        <v>828.66192741998714</v>
      </c>
      <c r="G307" s="35">
        <v>824.39801864012009</v>
      </c>
      <c r="H307" s="5">
        <v>585.61622367852851</v>
      </c>
      <c r="I307" s="5">
        <v>585.61629434551969</v>
      </c>
      <c r="J307" s="5">
        <v>585.57708157561819</v>
      </c>
      <c r="K307" s="5">
        <v>1011.725186622548</v>
      </c>
      <c r="L307" s="5">
        <v>862.22080950640998</v>
      </c>
      <c r="M307" s="5">
        <v>829.36740925416575</v>
      </c>
      <c r="N307" s="5">
        <v>867.83394660293334</v>
      </c>
      <c r="O307" s="5">
        <v>887.97402899001634</v>
      </c>
      <c r="P307">
        <v>881.48119646229588</v>
      </c>
      <c r="Q307" s="5">
        <v>946.49266979777508</v>
      </c>
      <c r="R307" s="5">
        <v>892.68505859375</v>
      </c>
      <c r="S307" s="5">
        <v>729.4644775390625</v>
      </c>
      <c r="T307" s="5">
        <v>875.80770735013414</v>
      </c>
      <c r="U307" s="5">
        <v>939.79490599677615</v>
      </c>
      <c r="V307" s="5">
        <v>838.61948031894553</v>
      </c>
      <c r="W307" s="5">
        <v>826.94894198056795</v>
      </c>
      <c r="X307" s="5">
        <v>728.88873780423921</v>
      </c>
      <c r="Y307" s="5">
        <v>637.63487362796195</v>
      </c>
    </row>
    <row r="308" spans="1:25">
      <c r="A308">
        <v>106</v>
      </c>
      <c r="B308">
        <v>3</v>
      </c>
      <c r="C308">
        <v>298.89999999999998</v>
      </c>
      <c r="D308">
        <v>36.14</v>
      </c>
      <c r="E308">
        <v>3.9433962264150941</v>
      </c>
      <c r="F308">
        <v>736</v>
      </c>
      <c r="G308" s="35">
        <v>895.43954523203433</v>
      </c>
      <c r="H308" s="5">
        <v>117.2318090707045</v>
      </c>
      <c r="I308" s="5">
        <v>117.23210095549391</v>
      </c>
      <c r="J308" s="5">
        <v>117.25752586953379</v>
      </c>
      <c r="K308" s="5">
        <v>743.71428571428567</v>
      </c>
      <c r="L308" s="5">
        <v>737.75368129467813</v>
      </c>
      <c r="M308" s="5">
        <v>736.72535605731764</v>
      </c>
      <c r="N308" s="5">
        <v>710.51892997584525</v>
      </c>
      <c r="O308" s="5">
        <v>726.82808878224864</v>
      </c>
      <c r="P308">
        <v>791.13156395544036</v>
      </c>
      <c r="Q308" s="5">
        <v>740.77297352175674</v>
      </c>
      <c r="R308" s="5">
        <v>716.06610107421875</v>
      </c>
      <c r="S308" s="5">
        <v>898.4561767578125</v>
      </c>
      <c r="T308" s="5">
        <v>840.32515259038632</v>
      </c>
      <c r="U308" s="5">
        <v>753.89855111644408</v>
      </c>
      <c r="V308" s="5">
        <v>660.53975224106682</v>
      </c>
      <c r="W308" s="5">
        <v>716.13086938578476</v>
      </c>
      <c r="X308" s="5">
        <v>675.09768582254685</v>
      </c>
      <c r="Y308" s="5">
        <v>553.49763467460605</v>
      </c>
    </row>
    <row r="309" spans="1:25">
      <c r="A309">
        <v>100</v>
      </c>
      <c r="B309">
        <v>2.5</v>
      </c>
      <c r="C309">
        <v>244</v>
      </c>
      <c r="D309">
        <v>34.85</v>
      </c>
      <c r="E309">
        <v>3</v>
      </c>
      <c r="F309">
        <v>670</v>
      </c>
      <c r="G309" s="35">
        <v>527.85569865908246</v>
      </c>
      <c r="H309" s="5">
        <v>-487.07384216651047</v>
      </c>
      <c r="I309" s="5">
        <v>-487.07339865032873</v>
      </c>
      <c r="J309" s="5">
        <v>-487.00086922225091</v>
      </c>
      <c r="K309" s="5">
        <v>718.36666666666667</v>
      </c>
      <c r="L309" s="5">
        <v>665.5429409217079</v>
      </c>
      <c r="M309" s="5">
        <v>632.60024848071714</v>
      </c>
      <c r="N309" s="5">
        <v>579.9043175021551</v>
      </c>
      <c r="O309" s="5">
        <v>609.19654318430628</v>
      </c>
      <c r="P309">
        <v>539.72920897094491</v>
      </c>
      <c r="Q309" s="5">
        <v>641.31291893046409</v>
      </c>
      <c r="R309" s="5">
        <v>586.94061279296875</v>
      </c>
      <c r="S309" s="5">
        <v>669.7733154296875</v>
      </c>
      <c r="T309" s="5">
        <v>689.36606305239388</v>
      </c>
      <c r="U309" s="5">
        <v>549.71529347651949</v>
      </c>
      <c r="V309" s="5">
        <v>476.89037118027949</v>
      </c>
      <c r="W309" s="5">
        <v>537.16033344220102</v>
      </c>
      <c r="X309" s="5">
        <v>522.55229618147075</v>
      </c>
      <c r="Y309" s="5">
        <v>418.96307496690929</v>
      </c>
    </row>
    <row r="310" spans="1:25">
      <c r="A310">
        <v>88.9</v>
      </c>
      <c r="B310">
        <v>5.8419999999999996</v>
      </c>
      <c r="C310">
        <v>406</v>
      </c>
      <c r="D310">
        <v>41.5</v>
      </c>
      <c r="E310">
        <v>5.7142857142857144</v>
      </c>
      <c r="F310">
        <v>889.6</v>
      </c>
      <c r="G310" s="35">
        <v>991.9</v>
      </c>
      <c r="H310" s="5">
        <v>954.30262288944823</v>
      </c>
      <c r="I310" s="5">
        <v>954.30281361978018</v>
      </c>
      <c r="J310" s="5">
        <v>954.24771840195831</v>
      </c>
      <c r="K310" s="5">
        <v>1171.475943171582</v>
      </c>
      <c r="L310" s="5">
        <v>1051.365175872281</v>
      </c>
      <c r="M310" s="5">
        <v>991.89999999999645</v>
      </c>
      <c r="N310" s="5">
        <v>1009.05118471574</v>
      </c>
      <c r="O310" s="5">
        <v>1014.218153418794</v>
      </c>
      <c r="P310">
        <v>955.28452439616581</v>
      </c>
      <c r="Q310" s="5">
        <v>1014.630770113783</v>
      </c>
      <c r="R310" s="5">
        <v>991.72137451171875</v>
      </c>
      <c r="S310" s="5">
        <v>1360.3568115234375</v>
      </c>
      <c r="T310" s="5">
        <v>995.97514090380832</v>
      </c>
      <c r="U310" s="5">
        <v>1196.9501065698339</v>
      </c>
      <c r="V310" s="5">
        <v>1074.0593842305343</v>
      </c>
      <c r="W310" s="5">
        <v>1013.2591176788071</v>
      </c>
      <c r="X310" s="5">
        <v>874.89595107567186</v>
      </c>
      <c r="Y310" s="5">
        <v>781.1685871943464</v>
      </c>
    </row>
    <row r="311" spans="1:25">
      <c r="A311">
        <v>150</v>
      </c>
      <c r="B311">
        <v>1.87</v>
      </c>
      <c r="C311">
        <v>282</v>
      </c>
      <c r="D311">
        <v>68.160000000000011</v>
      </c>
      <c r="E311">
        <v>3</v>
      </c>
      <c r="F311">
        <v>1701</v>
      </c>
      <c r="G311" s="35">
        <v>2381.6477634033131</v>
      </c>
      <c r="H311" s="5">
        <v>1631.2588637609131</v>
      </c>
      <c r="I311" s="5">
        <v>1631.2588523225729</v>
      </c>
      <c r="J311" s="5">
        <v>1631.2940065804</v>
      </c>
      <c r="K311" s="5">
        <v>1460.181818181818</v>
      </c>
      <c r="L311" s="5">
        <v>1561.006414642615</v>
      </c>
      <c r="M311" s="5">
        <v>1604.564789644013</v>
      </c>
      <c r="N311" s="5">
        <v>1714.9950860985309</v>
      </c>
      <c r="O311" s="5">
        <v>1607.1099325624859</v>
      </c>
      <c r="P311">
        <v>1456.264813761549</v>
      </c>
      <c r="Q311" s="5">
        <v>1542.680581170406</v>
      </c>
      <c r="R311" s="5">
        <v>1604.998291015625</v>
      </c>
      <c r="S311" s="5">
        <v>1783.728515625</v>
      </c>
      <c r="T311" s="5">
        <v>1685.9616296524368</v>
      </c>
      <c r="U311" s="5">
        <v>1542.7279711458957</v>
      </c>
      <c r="V311" s="5">
        <v>1283.6127490951799</v>
      </c>
      <c r="Y311" s="5">
        <v>1318.115450553121</v>
      </c>
    </row>
    <row r="312" spans="1:25">
      <c r="A312">
        <v>240</v>
      </c>
      <c r="B312">
        <v>10</v>
      </c>
      <c r="C312">
        <v>269</v>
      </c>
      <c r="D312">
        <v>49.8</v>
      </c>
      <c r="E312">
        <v>6</v>
      </c>
      <c r="F312">
        <v>5135</v>
      </c>
      <c r="G312" s="35">
        <v>4121.3994090361921</v>
      </c>
      <c r="H312" s="5">
        <v>6600.4445176441222</v>
      </c>
      <c r="I312" s="5">
        <v>6600.4440356158884</v>
      </c>
      <c r="J312" s="5">
        <v>6600.3412734036701</v>
      </c>
      <c r="K312" s="5">
        <v>9553</v>
      </c>
      <c r="L312" s="5">
        <v>6368.6616217352048</v>
      </c>
      <c r="M312" s="5">
        <v>5436.3818280641053</v>
      </c>
      <c r="N312" s="5">
        <v>4526.9037719511916</v>
      </c>
      <c r="O312" s="5">
        <v>4860.21474011803</v>
      </c>
      <c r="P312">
        <v>5219.1491621191581</v>
      </c>
      <c r="Q312" s="5">
        <v>5323.9710499838593</v>
      </c>
      <c r="R312" s="5">
        <v>5730.4599609375</v>
      </c>
      <c r="S312" s="5">
        <v>5439.94140625</v>
      </c>
      <c r="T312" s="5">
        <v>4940.9260026670308</v>
      </c>
      <c r="U312" s="5">
        <v>5041.8603683372658</v>
      </c>
      <c r="V312" s="5">
        <v>4411.8751628403179</v>
      </c>
      <c r="W312" s="5">
        <v>4577.5863967311834</v>
      </c>
      <c r="X312" s="5">
        <v>4084.6852647712822</v>
      </c>
      <c r="Y312" s="5">
        <v>3648.621893536143</v>
      </c>
    </row>
    <row r="313" spans="1:25">
      <c r="A313">
        <v>96</v>
      </c>
      <c r="B313">
        <v>5</v>
      </c>
      <c r="C313">
        <v>410</v>
      </c>
      <c r="D313">
        <v>26.01869872620826</v>
      </c>
      <c r="E313">
        <v>4.166666666666667</v>
      </c>
      <c r="F313">
        <v>1172</v>
      </c>
      <c r="G313" s="35">
        <v>1125.5</v>
      </c>
      <c r="H313" s="5">
        <v>591.05796734338537</v>
      </c>
      <c r="I313" s="5">
        <v>591.05831681532527</v>
      </c>
      <c r="J313" s="5">
        <v>591.03232002416712</v>
      </c>
      <c r="K313" s="5">
        <v>1024.484336446623</v>
      </c>
      <c r="L313" s="5">
        <v>1121.723438834867</v>
      </c>
      <c r="M313" s="5">
        <v>1125.4975315573699</v>
      </c>
      <c r="N313" s="5">
        <v>1103.1353553594149</v>
      </c>
      <c r="O313" s="5">
        <v>1106.454411720583</v>
      </c>
      <c r="P313">
        <v>1121.424381671088</v>
      </c>
      <c r="Q313" s="5">
        <v>1059.354333360197</v>
      </c>
      <c r="R313" s="5">
        <v>1124.23974609375</v>
      </c>
      <c r="S313" s="5">
        <v>1144.2012939453125</v>
      </c>
      <c r="T313" s="5">
        <v>1093.240212780755</v>
      </c>
      <c r="U313" s="5">
        <v>1100.5613999135614</v>
      </c>
      <c r="V313" s="5">
        <v>992.96847935555263</v>
      </c>
      <c r="W313" s="5">
        <v>899.84456010481324</v>
      </c>
      <c r="Y313" s="5">
        <v>719.53283508012441</v>
      </c>
    </row>
    <row r="314" spans="1:25">
      <c r="A314">
        <v>100</v>
      </c>
      <c r="B314">
        <v>3</v>
      </c>
      <c r="C314">
        <v>303.5</v>
      </c>
      <c r="D314">
        <v>46.8</v>
      </c>
      <c r="E314">
        <v>3</v>
      </c>
      <c r="F314">
        <v>780</v>
      </c>
      <c r="G314" s="35">
        <v>762.66666666666663</v>
      </c>
      <c r="H314" s="5">
        <v>59.605713036341058</v>
      </c>
      <c r="I314" s="5">
        <v>59.606117426302717</v>
      </c>
      <c r="J314" s="5">
        <v>59.646014331933202</v>
      </c>
      <c r="K314" s="5">
        <v>793.28571428571433</v>
      </c>
      <c r="L314" s="5">
        <v>766.51557311570696</v>
      </c>
      <c r="M314" s="5">
        <v>763.63744141666689</v>
      </c>
      <c r="N314" s="5">
        <v>809.67572006297053</v>
      </c>
      <c r="O314" s="5">
        <v>776.49545840392375</v>
      </c>
      <c r="P314">
        <v>775.43379339591331</v>
      </c>
      <c r="Q314" s="5">
        <v>782.97578586431962</v>
      </c>
      <c r="R314" s="5">
        <v>762.4827880859375</v>
      </c>
      <c r="S314" s="5">
        <v>809.4659423828125</v>
      </c>
      <c r="T314" s="5">
        <v>881.35877242234869</v>
      </c>
      <c r="U314" s="5">
        <v>774.26803469653078</v>
      </c>
      <c r="V314" s="5">
        <v>674.21263470232986</v>
      </c>
      <c r="W314" s="5">
        <v>753.02178107444774</v>
      </c>
      <c r="X314" s="5">
        <v>722.31052085579768</v>
      </c>
      <c r="Y314" s="5">
        <v>581.8404887493233</v>
      </c>
    </row>
    <row r="315" spans="1:25">
      <c r="A315">
        <v>114.3</v>
      </c>
      <c r="B315">
        <v>3.85</v>
      </c>
      <c r="C315">
        <v>343</v>
      </c>
      <c r="D315">
        <v>25.52</v>
      </c>
      <c r="E315">
        <v>2.6246719160104992</v>
      </c>
      <c r="F315">
        <v>998</v>
      </c>
      <c r="G315" s="35">
        <v>949.62646755584865</v>
      </c>
      <c r="H315" s="5">
        <v>515.43523573129073</v>
      </c>
      <c r="I315" s="5">
        <v>515.43566870957375</v>
      </c>
      <c r="J315" s="5">
        <v>515.48917156258699</v>
      </c>
      <c r="K315" s="5">
        <v>1020.142857142857</v>
      </c>
      <c r="L315" s="5">
        <v>973.67763394094936</v>
      </c>
      <c r="M315" s="5">
        <v>951.1929149610902</v>
      </c>
      <c r="N315" s="5">
        <v>938.46868025772085</v>
      </c>
      <c r="O315" s="5">
        <v>929.25156850365227</v>
      </c>
      <c r="P315">
        <v>879.14353379739578</v>
      </c>
      <c r="Q315" s="5">
        <v>963.74303940834511</v>
      </c>
      <c r="R315" s="5">
        <v>923.00469970703125</v>
      </c>
      <c r="S315" s="5">
        <v>830.493408203125</v>
      </c>
      <c r="T315" s="5">
        <v>1049.520828921934</v>
      </c>
      <c r="U315" s="5">
        <v>970.07418604557404</v>
      </c>
      <c r="V315" s="5">
        <v>866.15667358195878</v>
      </c>
      <c r="W315" s="5">
        <v>844.41644090670377</v>
      </c>
      <c r="Y315" s="5">
        <v>671.34975940311449</v>
      </c>
    </row>
    <row r="316" spans="1:25">
      <c r="A316">
        <v>89.32</v>
      </c>
      <c r="B316">
        <v>2.74</v>
      </c>
      <c r="C316">
        <v>360</v>
      </c>
      <c r="D316">
        <v>23.60886003656438</v>
      </c>
      <c r="E316">
        <v>3.8065382892969102</v>
      </c>
      <c r="F316">
        <v>571</v>
      </c>
      <c r="G316" s="35">
        <v>554.82626007721399</v>
      </c>
      <c r="H316" s="5">
        <v>-539.01892083233361</v>
      </c>
      <c r="I316" s="5">
        <v>-539.01849996331111</v>
      </c>
      <c r="J316" s="5">
        <v>-538.97708220321692</v>
      </c>
      <c r="K316" s="5">
        <v>567</v>
      </c>
      <c r="L316" s="5">
        <v>551.06939331501837</v>
      </c>
      <c r="M316" s="5">
        <v>551.23332040677587</v>
      </c>
      <c r="N316" s="5">
        <v>577.91808047926327</v>
      </c>
      <c r="O316" s="5">
        <v>603.57944268692347</v>
      </c>
      <c r="P316">
        <v>577.54139892894511</v>
      </c>
      <c r="Q316" s="5">
        <v>602.31666717922167</v>
      </c>
      <c r="R316" s="5">
        <v>582.84228515625</v>
      </c>
      <c r="S316" s="5">
        <v>681.33837890625</v>
      </c>
      <c r="T316" s="5">
        <v>618.96757568521093</v>
      </c>
      <c r="U316" s="5">
        <v>564.98276022102448</v>
      </c>
      <c r="V316" s="5">
        <v>504.93252064155894</v>
      </c>
      <c r="W316" s="5">
        <v>487.86775999653293</v>
      </c>
      <c r="Y316" s="5">
        <v>388.05554097189719</v>
      </c>
    </row>
    <row r="317" spans="1:25">
      <c r="A317">
        <v>167</v>
      </c>
      <c r="B317">
        <v>3.1</v>
      </c>
      <c r="C317">
        <v>300</v>
      </c>
      <c r="D317">
        <v>46.763208585700767</v>
      </c>
      <c r="E317">
        <v>2.0958083832335328</v>
      </c>
      <c r="F317">
        <v>1365</v>
      </c>
      <c r="G317" s="35">
        <v>1281.6579921434841</v>
      </c>
      <c r="H317" s="5">
        <v>2162.1529154961722</v>
      </c>
      <c r="I317" s="5">
        <v>2162.1530442483381</v>
      </c>
      <c r="J317" s="5">
        <v>2162.208069348821</v>
      </c>
      <c r="K317" s="5">
        <v>2472.3230769230772</v>
      </c>
      <c r="L317" s="5">
        <v>2066.1422726803789</v>
      </c>
      <c r="M317" s="5">
        <v>1972.44697526555</v>
      </c>
      <c r="N317" s="5">
        <v>1932.132080949458</v>
      </c>
      <c r="O317" s="5">
        <v>1737.2724062454531</v>
      </c>
      <c r="P317">
        <v>1761.2307868656569</v>
      </c>
      <c r="Q317" s="5">
        <v>2078.2751613988048</v>
      </c>
      <c r="R317" s="5">
        <v>1818.33544921875</v>
      </c>
      <c r="S317" s="5">
        <v>1636.6787109375</v>
      </c>
      <c r="T317" s="5">
        <v>1731.5651759964869</v>
      </c>
      <c r="U317" s="5">
        <v>1725.4148433650221</v>
      </c>
      <c r="V317" s="5">
        <v>1476.1527548498868</v>
      </c>
      <c r="W317" s="5">
        <v>1461.3767364463718</v>
      </c>
      <c r="X317" s="5">
        <v>1696.9609243110331</v>
      </c>
      <c r="Y317" s="5">
        <v>1375.474024353246</v>
      </c>
    </row>
    <row r="318" spans="1:25">
      <c r="A318">
        <v>60</v>
      </c>
      <c r="B318">
        <v>2</v>
      </c>
      <c r="C318">
        <v>404</v>
      </c>
      <c r="D318">
        <v>68.160000000000011</v>
      </c>
      <c r="E318">
        <v>3</v>
      </c>
      <c r="F318">
        <v>415</v>
      </c>
      <c r="G318" s="35">
        <v>628.10995513763828</v>
      </c>
      <c r="H318" s="5">
        <v>-774.03943050622593</v>
      </c>
      <c r="I318" s="5">
        <v>-774.03901821464115</v>
      </c>
      <c r="J318" s="5">
        <v>-774.02768949792835</v>
      </c>
      <c r="K318" s="5">
        <v>248.29714285714289</v>
      </c>
      <c r="L318" s="5">
        <v>403.36615439079532</v>
      </c>
      <c r="M318" s="5">
        <v>419.76375404530751</v>
      </c>
      <c r="N318" s="5">
        <v>378.11097768690928</v>
      </c>
      <c r="O318" s="5">
        <v>412.24128439444979</v>
      </c>
      <c r="P318">
        <v>432.32895466836408</v>
      </c>
      <c r="Q318" s="5">
        <v>436.99999999999949</v>
      </c>
      <c r="R318" s="5">
        <v>437.42901611328119</v>
      </c>
      <c r="S318" s="5">
        <v>368.1273193359375</v>
      </c>
      <c r="T318" s="5">
        <v>490.37243230284037</v>
      </c>
      <c r="U318" s="5">
        <v>406.38737788153333</v>
      </c>
      <c r="V318" s="5">
        <v>354.07102906701175</v>
      </c>
      <c r="W318" s="5">
        <v>393.99206001696103</v>
      </c>
      <c r="Y318" s="5">
        <v>303.93666670082149</v>
      </c>
    </row>
    <row r="319" spans="1:25">
      <c r="A319">
        <v>114.3</v>
      </c>
      <c r="B319">
        <v>3.35</v>
      </c>
      <c r="C319">
        <v>287.33</v>
      </c>
      <c r="D319">
        <v>55.021479750811103</v>
      </c>
      <c r="E319">
        <v>5</v>
      </c>
      <c r="F319">
        <v>902.9</v>
      </c>
      <c r="G319" s="35">
        <v>911.76639702333205</v>
      </c>
      <c r="H319" s="5">
        <v>746.30579291071899</v>
      </c>
      <c r="I319" s="5">
        <v>746.30586342117908</v>
      </c>
      <c r="J319" s="5">
        <v>746.28795440332033</v>
      </c>
      <c r="K319" s="5">
        <v>798.0724507562602</v>
      </c>
      <c r="L319" s="5">
        <v>923.06679758515361</v>
      </c>
      <c r="M319" s="5">
        <v>929.24473849451408</v>
      </c>
      <c r="N319" s="5">
        <v>944.24914609590155</v>
      </c>
      <c r="O319" s="5">
        <v>940.9395879232809</v>
      </c>
      <c r="P319">
        <v>889.51805284549562</v>
      </c>
      <c r="Q319" s="5">
        <v>1040.535273974318</v>
      </c>
      <c r="R319" s="5">
        <v>931.51031494140625</v>
      </c>
      <c r="S319" s="5">
        <v>1084.6763916015625</v>
      </c>
      <c r="T319" s="5">
        <v>1029.5641085275704</v>
      </c>
      <c r="U319" s="5">
        <v>1043.8417067341397</v>
      </c>
      <c r="V319" s="5">
        <v>901.39014867310084</v>
      </c>
      <c r="W319" s="5">
        <v>1021.2172390142316</v>
      </c>
      <c r="X319" s="5">
        <v>900.80988753942177</v>
      </c>
      <c r="Y319" s="5">
        <v>794.15947204493068</v>
      </c>
    </row>
    <row r="320" spans="1:25">
      <c r="A320">
        <v>100</v>
      </c>
      <c r="B320">
        <v>3</v>
      </c>
      <c r="C320">
        <v>432.09</v>
      </c>
      <c r="D320">
        <v>34.04</v>
      </c>
      <c r="E320">
        <v>3</v>
      </c>
      <c r="F320">
        <v>724</v>
      </c>
      <c r="G320" s="35">
        <v>752.30816290975167</v>
      </c>
      <c r="H320" s="5">
        <v>233.33189083310481</v>
      </c>
      <c r="I320" s="5">
        <v>233.33223490730191</v>
      </c>
      <c r="J320" s="5">
        <v>233.35974186402839</v>
      </c>
      <c r="K320" s="5">
        <v>718.36666666666667</v>
      </c>
      <c r="L320" s="5">
        <v>762.85379933979402</v>
      </c>
      <c r="M320" s="5">
        <v>769.70524125603322</v>
      </c>
      <c r="N320" s="5">
        <v>739.8814494551508</v>
      </c>
      <c r="O320" s="5">
        <v>729.92483322661428</v>
      </c>
      <c r="P320">
        <v>754.7796549853349</v>
      </c>
      <c r="Q320" s="5">
        <v>842.93291940889264</v>
      </c>
      <c r="R320" s="5">
        <v>769.1170654296875</v>
      </c>
      <c r="S320" s="5">
        <v>881.943359375</v>
      </c>
      <c r="T320" s="5">
        <v>928.85539601709786</v>
      </c>
      <c r="U320" s="5">
        <v>876.15949081446388</v>
      </c>
      <c r="V320" s="5">
        <v>778.94326724435723</v>
      </c>
      <c r="W320" s="5">
        <v>780.59997767651782</v>
      </c>
      <c r="X320" s="5">
        <v>795.78353336338887</v>
      </c>
      <c r="Y320" s="5">
        <v>614.56198721192584</v>
      </c>
    </row>
    <row r="321" spans="1:25">
      <c r="A321">
        <v>133</v>
      </c>
      <c r="B321">
        <v>4.7</v>
      </c>
      <c r="C321">
        <v>352</v>
      </c>
      <c r="D321">
        <v>106.02</v>
      </c>
      <c r="E321">
        <v>3.496240601503759</v>
      </c>
      <c r="F321">
        <v>2253</v>
      </c>
      <c r="G321" s="35">
        <v>2215.5</v>
      </c>
      <c r="H321" s="5">
        <v>2722.685843385103</v>
      </c>
      <c r="I321" s="5">
        <v>2722.6858109293748</v>
      </c>
      <c r="J321" s="5">
        <v>2722.6380424354252</v>
      </c>
      <c r="K321" s="5">
        <v>2082.636363636364</v>
      </c>
      <c r="L321" s="5">
        <v>2210.6725757714521</v>
      </c>
      <c r="M321" s="5">
        <v>2215.5</v>
      </c>
      <c r="N321" s="5">
        <v>2249.503360285848</v>
      </c>
      <c r="O321" s="5">
        <v>2203.6754191582322</v>
      </c>
      <c r="P321">
        <v>2303.6559536749742</v>
      </c>
      <c r="Q321" s="5">
        <v>1984.757516235107</v>
      </c>
      <c r="R321" s="5">
        <v>2214.21875</v>
      </c>
      <c r="S321" s="5">
        <v>2266.459716796875</v>
      </c>
      <c r="T321" s="5">
        <v>2331.0845102012177</v>
      </c>
      <c r="U321" s="5">
        <v>2232.3200266224858</v>
      </c>
      <c r="V321" s="5">
        <v>2012.7314839505352</v>
      </c>
    </row>
    <row r="322" spans="1:25">
      <c r="A322">
        <v>204</v>
      </c>
      <c r="B322">
        <v>2</v>
      </c>
      <c r="C322">
        <v>235.4</v>
      </c>
      <c r="D322">
        <v>17.825649746265189</v>
      </c>
      <c r="E322">
        <v>4.117647058823529</v>
      </c>
      <c r="F322">
        <v>1295</v>
      </c>
      <c r="G322" s="35">
        <v>1365.88635239426</v>
      </c>
      <c r="H322" s="5">
        <v>2363.0264876814431</v>
      </c>
      <c r="I322" s="5">
        <v>2363.0262964417698</v>
      </c>
      <c r="J322" s="5">
        <v>2363.0651714578798</v>
      </c>
      <c r="K322" s="5">
        <v>1509.3215457818419</v>
      </c>
      <c r="L322" s="5">
        <v>1373.4503348278299</v>
      </c>
      <c r="M322" s="5">
        <v>1402.1228293967849</v>
      </c>
      <c r="N322" s="5">
        <v>1280.62921519101</v>
      </c>
      <c r="O322" s="5">
        <v>1352.6269327479311</v>
      </c>
      <c r="P322">
        <v>1333.9781300460161</v>
      </c>
      <c r="Q322" s="5">
        <v>1345.0790425533189</v>
      </c>
      <c r="R322" s="5">
        <v>1416.280395507812</v>
      </c>
      <c r="S322" s="5">
        <v>1283.1103515625</v>
      </c>
      <c r="T322" s="5">
        <v>1117.6747270474452</v>
      </c>
      <c r="U322" s="5">
        <v>1044.0174932888237</v>
      </c>
      <c r="V322" s="5">
        <v>895.56208617351695</v>
      </c>
      <c r="W322" s="5">
        <v>859.80098616661689</v>
      </c>
    </row>
    <row r="323" spans="1:25">
      <c r="A323">
        <v>108</v>
      </c>
      <c r="B323">
        <v>8</v>
      </c>
      <c r="C323">
        <v>351</v>
      </c>
      <c r="D323">
        <v>74.08</v>
      </c>
      <c r="E323">
        <v>3</v>
      </c>
      <c r="F323">
        <v>1835</v>
      </c>
      <c r="G323" s="35">
        <v>1892.593143596378</v>
      </c>
      <c r="H323" s="5">
        <v>2251.6403196938222</v>
      </c>
      <c r="I323" s="5">
        <v>2251.640744554958</v>
      </c>
      <c r="J323" s="5">
        <v>2251.6288495487311</v>
      </c>
      <c r="K323" s="5">
        <v>1779.624444444444</v>
      </c>
      <c r="L323" s="5">
        <v>1878.4137051282071</v>
      </c>
      <c r="M323" s="5">
        <v>1890.5368932038839</v>
      </c>
      <c r="N323" s="5">
        <v>1917.017917505626</v>
      </c>
      <c r="O323" s="5">
        <v>1914.0135058099081</v>
      </c>
      <c r="P323">
        <v>1887.095229866464</v>
      </c>
      <c r="Q323" s="5">
        <v>1848.7090030440379</v>
      </c>
      <c r="R323" s="5">
        <v>1880.25048828125</v>
      </c>
      <c r="S323" s="5">
        <v>1819.1585693359375</v>
      </c>
      <c r="T323" s="5">
        <v>1939.3502370242772</v>
      </c>
      <c r="U323" s="5">
        <v>1921.5528846214863</v>
      </c>
      <c r="V323" s="5">
        <v>1701.1343140909757</v>
      </c>
    </row>
    <row r="324" spans="1:25">
      <c r="A324">
        <v>318.5</v>
      </c>
      <c r="B324">
        <v>10.37</v>
      </c>
      <c r="C324">
        <v>335</v>
      </c>
      <c r="D324">
        <v>24.2</v>
      </c>
      <c r="E324">
        <v>2.998430141287284</v>
      </c>
      <c r="F324">
        <v>6901</v>
      </c>
      <c r="G324" s="35">
        <v>7933.1610718403199</v>
      </c>
      <c r="H324" s="5">
        <v>8820.3037399487494</v>
      </c>
      <c r="I324" s="5">
        <v>8820.3032453079777</v>
      </c>
      <c r="J324" s="5">
        <v>8820.2693904390617</v>
      </c>
      <c r="K324" s="5">
        <v>9553</v>
      </c>
      <c r="L324" s="5">
        <v>7415.8972675808627</v>
      </c>
      <c r="M324" s="5">
        <v>7649.2961165048546</v>
      </c>
      <c r="N324" s="5">
        <v>9486.5358267480187</v>
      </c>
      <c r="O324" s="5">
        <v>8550.8000288854109</v>
      </c>
      <c r="P324">
        <v>8112.8741947307071</v>
      </c>
      <c r="Q324" s="5">
        <v>7487.9497675053508</v>
      </c>
      <c r="R324" s="5">
        <v>6985.81494140625</v>
      </c>
      <c r="S324" s="5">
        <v>6928.1904296875</v>
      </c>
      <c r="T324" s="5">
        <v>6838.2872893233143</v>
      </c>
      <c r="U324" s="5">
        <v>7132.9636963868252</v>
      </c>
      <c r="V324" s="5">
        <v>6368.4975459494453</v>
      </c>
      <c r="W324" s="5">
        <v>5983.7897957901532</v>
      </c>
      <c r="Y324" s="5">
        <v>4933.3298241158127</v>
      </c>
    </row>
    <row r="325" spans="1:25">
      <c r="A325">
        <v>140</v>
      </c>
      <c r="B325">
        <v>4.5</v>
      </c>
      <c r="C325">
        <v>462.9</v>
      </c>
      <c r="D325">
        <v>50.44</v>
      </c>
      <c r="E325">
        <v>3</v>
      </c>
      <c r="F325">
        <v>1865.2</v>
      </c>
      <c r="G325" s="35">
        <v>1871.6</v>
      </c>
      <c r="H325" s="5">
        <v>2336.3188770641182</v>
      </c>
      <c r="I325" s="5">
        <v>2336.3189513790981</v>
      </c>
      <c r="J325" s="5">
        <v>2336.3036566187702</v>
      </c>
      <c r="K325" s="5">
        <v>1601.9416666666671</v>
      </c>
      <c r="L325" s="5">
        <v>1870.762576604212</v>
      </c>
      <c r="M325" s="5">
        <v>1870.224514563102</v>
      </c>
      <c r="N325" s="5">
        <v>1882.2891924855351</v>
      </c>
      <c r="O325" s="5">
        <v>1840.931380833895</v>
      </c>
      <c r="P325">
        <v>1854.7564457932619</v>
      </c>
      <c r="Q325" s="5">
        <v>1800.112809148148</v>
      </c>
      <c r="R325" s="5">
        <v>1879.673217773438</v>
      </c>
      <c r="S325" s="5">
        <v>1674.5115966796875</v>
      </c>
      <c r="T325" s="5">
        <v>2084.8511908481887</v>
      </c>
      <c r="U325" s="5">
        <v>2116.3355105817768</v>
      </c>
      <c r="V325" s="5">
        <v>1867.7473025077293</v>
      </c>
      <c r="W325" s="5">
        <v>1939.0643450267426</v>
      </c>
      <c r="Y325" s="5">
        <v>1518.8818774455151</v>
      </c>
    </row>
    <row r="326" spans="1:25">
      <c r="A326">
        <v>114.3</v>
      </c>
      <c r="B326">
        <v>5.9</v>
      </c>
      <c r="C326">
        <v>355</v>
      </c>
      <c r="D326">
        <v>66.75</v>
      </c>
      <c r="E326">
        <v>5.2493438320209984</v>
      </c>
      <c r="F326">
        <v>1810.94</v>
      </c>
      <c r="G326" s="35">
        <v>1414.9315437485541</v>
      </c>
      <c r="H326" s="5">
        <v>1935.0426705790751</v>
      </c>
      <c r="I326" s="5">
        <v>1935.0427128887541</v>
      </c>
      <c r="J326" s="5">
        <v>1934.982662248269</v>
      </c>
      <c r="K326" s="5">
        <v>1779.624444444444</v>
      </c>
      <c r="L326" s="5">
        <v>1610.763247847997</v>
      </c>
      <c r="M326" s="5">
        <v>1629.1673281707499</v>
      </c>
      <c r="N326" s="5">
        <v>1607.316818465918</v>
      </c>
      <c r="O326" s="5">
        <v>1642.774694825493</v>
      </c>
      <c r="P326">
        <v>1664.497447336403</v>
      </c>
      <c r="Q326" s="5">
        <v>1562.355918630712</v>
      </c>
      <c r="R326" s="5">
        <v>1580.039672851562</v>
      </c>
      <c r="S326" s="5">
        <v>1316.41455078125</v>
      </c>
      <c r="T326" s="5">
        <v>1570.7468903814711</v>
      </c>
      <c r="U326" s="5">
        <v>1706.3057933469177</v>
      </c>
      <c r="V326" s="5">
        <v>1502.0759406795341</v>
      </c>
      <c r="W326" s="5">
        <v>1563.1157038967576</v>
      </c>
      <c r="Y326" s="5">
        <v>1206.9366856564709</v>
      </c>
    </row>
    <row r="327" spans="1:25">
      <c r="A327">
        <v>131</v>
      </c>
      <c r="B327">
        <v>4</v>
      </c>
      <c r="C327">
        <v>306</v>
      </c>
      <c r="D327">
        <v>51.2</v>
      </c>
      <c r="E327">
        <v>3</v>
      </c>
      <c r="F327">
        <v>1430</v>
      </c>
      <c r="G327" s="35">
        <v>1393.5490196078431</v>
      </c>
      <c r="H327" s="5">
        <v>1438.729577719623</v>
      </c>
      <c r="I327" s="5">
        <v>1438.72980095463</v>
      </c>
      <c r="J327" s="5">
        <v>1438.747597891042</v>
      </c>
      <c r="K327" s="5">
        <v>1460.181818181818</v>
      </c>
      <c r="L327" s="5">
        <v>1404.192552048238</v>
      </c>
      <c r="M327" s="5">
        <v>1416.8779052662551</v>
      </c>
      <c r="N327" s="5">
        <v>1357.703367811552</v>
      </c>
      <c r="O327" s="5">
        <v>1442.738754520941</v>
      </c>
      <c r="P327">
        <v>1362.232996405223</v>
      </c>
      <c r="Q327" s="5">
        <v>1409.1504929235771</v>
      </c>
      <c r="R327" s="5">
        <v>1440.997436523438</v>
      </c>
      <c r="S327" s="5">
        <v>1450.659423828125</v>
      </c>
      <c r="T327" s="5">
        <v>1466.7244033363359</v>
      </c>
      <c r="U327" s="5">
        <v>1399.5071448795143</v>
      </c>
      <c r="V327" s="5">
        <v>1215.993874831609</v>
      </c>
      <c r="W327" s="5">
        <v>1346.5685907749917</v>
      </c>
      <c r="X327" s="5">
        <v>1304.3010333876889</v>
      </c>
      <c r="Y327" s="5">
        <v>1058.485283342513</v>
      </c>
    </row>
    <row r="328" spans="1:25">
      <c r="A328">
        <v>108</v>
      </c>
      <c r="B328">
        <v>10</v>
      </c>
      <c r="C328">
        <v>366.2</v>
      </c>
      <c r="D328">
        <v>82.48</v>
      </c>
      <c r="E328">
        <v>3</v>
      </c>
      <c r="F328">
        <v>2208</v>
      </c>
      <c r="G328" s="35">
        <v>2210.4455560725919</v>
      </c>
      <c r="H328" s="5">
        <v>3100.480943818136</v>
      </c>
      <c r="I328" s="5">
        <v>3100.4814497020452</v>
      </c>
      <c r="J328" s="5">
        <v>3100.4329318123191</v>
      </c>
      <c r="K328" s="5">
        <v>2075.818181818182</v>
      </c>
      <c r="L328" s="5">
        <v>2204.9069903846148</v>
      </c>
      <c r="M328" s="5">
        <v>2221.961165048544</v>
      </c>
      <c r="N328" s="5">
        <v>2178.698746581977</v>
      </c>
      <c r="O328" s="5">
        <v>2190.3633646679432</v>
      </c>
      <c r="P328">
        <v>2149.2617179586759</v>
      </c>
      <c r="Q328" s="5">
        <v>2152.5086388267068</v>
      </c>
      <c r="R328" s="5">
        <v>2225.60107421875</v>
      </c>
      <c r="S328" s="5">
        <v>2213.52587890625</v>
      </c>
      <c r="T328" s="5">
        <v>2278.1079640333696</v>
      </c>
      <c r="U328" s="5">
        <v>2328.1099085063138</v>
      </c>
      <c r="V328" s="5">
        <v>2065.3255328933778</v>
      </c>
    </row>
    <row r="329" spans="1:25">
      <c r="A329">
        <v>108</v>
      </c>
      <c r="B329">
        <v>4.5</v>
      </c>
      <c r="C329">
        <v>409.64</v>
      </c>
      <c r="D329">
        <v>28.6</v>
      </c>
      <c r="E329">
        <v>2.6851851851851851</v>
      </c>
      <c r="F329">
        <v>1225</v>
      </c>
      <c r="G329" s="35">
        <v>1250.583653846154</v>
      </c>
      <c r="H329" s="5">
        <v>794.50936985767953</v>
      </c>
      <c r="I329" s="5">
        <v>794.50980162853921</v>
      </c>
      <c r="J329" s="5">
        <v>794.54112873470308</v>
      </c>
      <c r="K329" s="5">
        <v>1165.756437714286</v>
      </c>
      <c r="L329" s="5">
        <v>1238.7502700413761</v>
      </c>
      <c r="M329" s="5">
        <v>1252.177144012941</v>
      </c>
      <c r="N329" s="5">
        <v>1282.1312432953259</v>
      </c>
      <c r="O329" s="5">
        <v>1227.183359589264</v>
      </c>
      <c r="P329">
        <v>1218.2848705981351</v>
      </c>
      <c r="Q329" s="5">
        <v>1409.8878120878501</v>
      </c>
      <c r="R329" s="5">
        <v>1257.273315429688</v>
      </c>
      <c r="S329" s="5">
        <v>1147.8768310546875</v>
      </c>
      <c r="T329" s="5">
        <v>1207.8702854139731</v>
      </c>
      <c r="U329" s="5">
        <v>1191.1558234828958</v>
      </c>
      <c r="V329" s="5">
        <v>1069.6086191103561</v>
      </c>
      <c r="W329" s="5">
        <v>1008.4729192276545</v>
      </c>
      <c r="X329" s="5">
        <v>1087.227463173632</v>
      </c>
      <c r="Y329" s="5">
        <v>803.87365225387293</v>
      </c>
    </row>
    <row r="330" spans="1:25">
      <c r="A330">
        <v>76.19</v>
      </c>
      <c r="B330">
        <v>2.99</v>
      </c>
      <c r="C330">
        <v>278</v>
      </c>
      <c r="D330">
        <v>145</v>
      </c>
      <c r="E330">
        <v>3.9375246095288099</v>
      </c>
      <c r="F330">
        <v>805</v>
      </c>
      <c r="G330" s="35">
        <v>804.46404034420948</v>
      </c>
      <c r="H330" s="5">
        <v>894.21160151067397</v>
      </c>
      <c r="I330" s="5">
        <v>894.21173295014432</v>
      </c>
      <c r="J330" s="5">
        <v>894.16044340142707</v>
      </c>
      <c r="K330" s="5">
        <v>631.28571428571433</v>
      </c>
      <c r="L330" s="5">
        <v>764.80073141060313</v>
      </c>
      <c r="M330" s="5">
        <v>813.91262135922329</v>
      </c>
      <c r="N330" s="5">
        <v>820.62139670068996</v>
      </c>
      <c r="O330" s="5">
        <v>774.41358702976208</v>
      </c>
      <c r="P330">
        <v>828.04446193053195</v>
      </c>
      <c r="Q330" s="5">
        <v>761.12509263198183</v>
      </c>
      <c r="R330" s="5">
        <v>775.32672119140625</v>
      </c>
      <c r="S330" s="5">
        <v>778.1473388671875</v>
      </c>
      <c r="T330" s="5">
        <v>813.78786543600916</v>
      </c>
      <c r="U330" s="5">
        <v>836.63624016765255</v>
      </c>
      <c r="V330" s="5">
        <v>734.16178859086835</v>
      </c>
    </row>
    <row r="331" spans="1:25">
      <c r="A331">
        <v>100</v>
      </c>
      <c r="B331">
        <v>2</v>
      </c>
      <c r="C331">
        <v>404</v>
      </c>
      <c r="D331">
        <v>68.160000000000011</v>
      </c>
      <c r="E331">
        <v>3</v>
      </c>
      <c r="F331">
        <v>930</v>
      </c>
      <c r="G331" s="35">
        <v>920</v>
      </c>
      <c r="H331" s="5">
        <v>445.34625713792337</v>
      </c>
      <c r="I331" s="5">
        <v>445.34644009946243</v>
      </c>
      <c r="J331" s="5">
        <v>445.35477910156919</v>
      </c>
      <c r="K331" s="5">
        <v>813.5</v>
      </c>
      <c r="L331" s="5">
        <v>920.92278708791196</v>
      </c>
      <c r="M331" s="5">
        <v>920</v>
      </c>
      <c r="N331" s="5">
        <v>1035.9447462524729</v>
      </c>
      <c r="O331" s="5">
        <v>973.53207208190702</v>
      </c>
      <c r="P331">
        <v>962.81745855296697</v>
      </c>
      <c r="Q331" s="5">
        <v>932.02210388154879</v>
      </c>
      <c r="R331" s="5">
        <v>925.6072998046875</v>
      </c>
      <c r="S331" s="5">
        <v>981.2110595703125</v>
      </c>
      <c r="T331" s="5">
        <v>1001.9609617765582</v>
      </c>
      <c r="U331" s="5">
        <v>896.35519468364328</v>
      </c>
      <c r="V331" s="5">
        <v>766.78280090902649</v>
      </c>
      <c r="W331" s="5">
        <v>791.56063839100079</v>
      </c>
      <c r="Y331" s="5">
        <v>709.90111414409262</v>
      </c>
    </row>
    <row r="332" spans="1:25">
      <c r="A332">
        <v>152.4</v>
      </c>
      <c r="B332">
        <v>1.55</v>
      </c>
      <c r="C332">
        <v>336</v>
      </c>
      <c r="D332">
        <v>26.3</v>
      </c>
      <c r="E332">
        <v>5.9973753280839892</v>
      </c>
      <c r="F332">
        <v>733</v>
      </c>
      <c r="G332" s="35">
        <v>762.66780675672499</v>
      </c>
      <c r="H332" s="5">
        <v>1208.901004201693</v>
      </c>
      <c r="I332" s="5">
        <v>1208.900709677956</v>
      </c>
      <c r="J332" s="5">
        <v>1208.876032137905</v>
      </c>
      <c r="K332" s="5">
        <v>755.24</v>
      </c>
      <c r="L332" s="5">
        <v>995.77684033855667</v>
      </c>
      <c r="M332" s="5">
        <v>838.16611568932058</v>
      </c>
      <c r="N332" s="5">
        <v>792.11566201333358</v>
      </c>
      <c r="O332" s="5">
        <v>791.35849136858997</v>
      </c>
      <c r="P332">
        <v>771.06499546766213</v>
      </c>
      <c r="Q332" s="5">
        <v>855.24118793081391</v>
      </c>
      <c r="R332" s="5">
        <v>814.40582275390625</v>
      </c>
      <c r="S332" s="5">
        <v>647.2373046875</v>
      </c>
      <c r="T332" s="5">
        <v>753.1106519231073</v>
      </c>
      <c r="U332" s="5">
        <v>860.2670706617356</v>
      </c>
      <c r="V332" s="5">
        <v>738.04766555070535</v>
      </c>
      <c r="W332" s="5">
        <v>726.64779793415744</v>
      </c>
      <c r="Y332" s="5">
        <v>647.00768347083726</v>
      </c>
    </row>
    <row r="333" spans="1:25">
      <c r="A333">
        <v>120.8278</v>
      </c>
      <c r="B333">
        <v>4.0893999999999986</v>
      </c>
      <c r="C333">
        <v>451.60660184</v>
      </c>
      <c r="D333">
        <v>25.924287372799999</v>
      </c>
      <c r="E333">
        <v>1.997477401723776</v>
      </c>
      <c r="F333">
        <v>1112.0554</v>
      </c>
      <c r="G333" s="35">
        <v>1203.6186703982271</v>
      </c>
      <c r="H333" s="5">
        <v>1141.4734075826821</v>
      </c>
      <c r="I333" s="5">
        <v>1141.473792072509</v>
      </c>
      <c r="J333" s="5">
        <v>1141.495740236335</v>
      </c>
      <c r="K333" s="5">
        <v>1381.2628091428569</v>
      </c>
      <c r="L333" s="5">
        <v>1222.0588186271621</v>
      </c>
      <c r="M333" s="5">
        <v>1207.1341787281369</v>
      </c>
      <c r="N333" s="5">
        <v>1261.0758586081361</v>
      </c>
      <c r="O333" s="5">
        <v>1145.9192552280119</v>
      </c>
      <c r="P333">
        <v>1197.2961009826761</v>
      </c>
      <c r="Q333" s="5">
        <v>1248.065723665263</v>
      </c>
      <c r="R333" s="5">
        <v>1145.041625976562</v>
      </c>
      <c r="S333" s="5">
        <v>1172.70166015625</v>
      </c>
      <c r="T333" s="5">
        <v>1395.9995822451131</v>
      </c>
      <c r="U333" s="5">
        <v>1355.6076204451481</v>
      </c>
      <c r="V333" s="5">
        <v>1217.6355790285204</v>
      </c>
      <c r="W333" s="5">
        <v>1130.6393369586222</v>
      </c>
      <c r="Y333" s="5">
        <v>919.63081325554219</v>
      </c>
    </row>
    <row r="334" spans="1:25">
      <c r="A334">
        <v>113.7</v>
      </c>
      <c r="B334">
        <v>2.09</v>
      </c>
      <c r="C334">
        <v>269.89999999999998</v>
      </c>
      <c r="D334">
        <v>59</v>
      </c>
      <c r="E334">
        <v>3.0079155672823221</v>
      </c>
      <c r="F334">
        <v>904</v>
      </c>
      <c r="G334" s="35">
        <v>867.24411026276357</v>
      </c>
      <c r="H334" s="5">
        <v>313.57365168399059</v>
      </c>
      <c r="I334" s="5">
        <v>313.57388517264462</v>
      </c>
      <c r="J334" s="5">
        <v>313.61912501516832</v>
      </c>
      <c r="K334" s="5">
        <v>936.42714285714283</v>
      </c>
      <c r="L334" s="5">
        <v>930.25250254121386</v>
      </c>
      <c r="M334" s="5">
        <v>939.66820860783571</v>
      </c>
      <c r="N334" s="5">
        <v>890.17080899116661</v>
      </c>
      <c r="O334" s="5">
        <v>922.00992826919503</v>
      </c>
      <c r="P334">
        <v>947.73218756128881</v>
      </c>
      <c r="Q334" s="5">
        <v>1057.8879421801171</v>
      </c>
      <c r="R334" s="5">
        <v>939.0692138671875</v>
      </c>
      <c r="S334" s="5">
        <v>992.263427734375</v>
      </c>
      <c r="T334" s="5">
        <v>1022.0332068046021</v>
      </c>
      <c r="U334" s="5">
        <v>876.23127289598756</v>
      </c>
      <c r="V334" s="5">
        <v>740.5706159150501</v>
      </c>
      <c r="Y334" s="5">
        <v>719.27936598830615</v>
      </c>
    </row>
    <row r="335" spans="1:25">
      <c r="A335">
        <v>108</v>
      </c>
      <c r="B335">
        <v>10</v>
      </c>
      <c r="C335">
        <v>366.2</v>
      </c>
      <c r="D335">
        <v>90.48</v>
      </c>
      <c r="E335">
        <v>3</v>
      </c>
      <c r="F335">
        <v>2331</v>
      </c>
      <c r="G335" s="35">
        <v>2252.196428571428</v>
      </c>
      <c r="H335" s="5">
        <v>3015.7956184800769</v>
      </c>
      <c r="I335" s="5">
        <v>3015.796058363374</v>
      </c>
      <c r="J335" s="5">
        <v>3015.746262266221</v>
      </c>
      <c r="K335" s="5">
        <v>2483.2222222222222</v>
      </c>
      <c r="L335" s="5">
        <v>2240.036269230769</v>
      </c>
      <c r="M335" s="5">
        <v>2261.6087378640782</v>
      </c>
      <c r="N335" s="5">
        <v>2318.966429409898</v>
      </c>
      <c r="O335" s="5">
        <v>2247.0441044898939</v>
      </c>
      <c r="P335">
        <v>2320.569522829695</v>
      </c>
      <c r="Q335" s="5">
        <v>2077.0779348645278</v>
      </c>
      <c r="R335" s="5">
        <v>2270.537109375</v>
      </c>
      <c r="S335" s="5">
        <v>2459.745361328125</v>
      </c>
      <c r="T335" s="5">
        <v>2318.6634720353518</v>
      </c>
      <c r="U335" s="5">
        <v>2376.7668955251129</v>
      </c>
      <c r="V335" s="5">
        <v>2104.2511225084168</v>
      </c>
    </row>
    <row r="336" spans="1:25">
      <c r="A336">
        <v>114.3</v>
      </c>
      <c r="B336">
        <v>6</v>
      </c>
      <c r="C336">
        <v>342.95</v>
      </c>
      <c r="D336">
        <v>105.45</v>
      </c>
      <c r="E336">
        <v>5</v>
      </c>
      <c r="F336">
        <v>1607.4</v>
      </c>
      <c r="G336" s="35">
        <v>1763.6290967414261</v>
      </c>
      <c r="H336" s="5">
        <v>2610.242837340887</v>
      </c>
      <c r="I336" s="5">
        <v>2610.2428153175879</v>
      </c>
      <c r="J336" s="5">
        <v>2610.1543233805519</v>
      </c>
      <c r="K336" s="5">
        <v>1533.9428571428571</v>
      </c>
      <c r="L336" s="5">
        <v>1593.0794003739311</v>
      </c>
      <c r="M336" s="5">
        <v>1660.9383495145639</v>
      </c>
      <c r="N336" s="5">
        <v>1612.236459602065</v>
      </c>
      <c r="O336" s="5">
        <v>1672.2028061821729</v>
      </c>
      <c r="P336">
        <v>1621.9999456448879</v>
      </c>
      <c r="Q336" s="5">
        <v>1569.5482791182019</v>
      </c>
      <c r="R336" s="5">
        <v>1619.988647460938</v>
      </c>
      <c r="S336" s="5">
        <v>2002.6807861328125</v>
      </c>
      <c r="T336" s="5">
        <v>1888.8420792544209</v>
      </c>
      <c r="U336" s="5">
        <v>1874.8825089284665</v>
      </c>
      <c r="V336" s="5">
        <v>1735.0576911816254</v>
      </c>
    </row>
    <row r="337" spans="1:25">
      <c r="A337">
        <v>106</v>
      </c>
      <c r="B337">
        <v>3</v>
      </c>
      <c r="C337">
        <v>344</v>
      </c>
      <c r="D337">
        <v>33.47</v>
      </c>
      <c r="E337">
        <v>5.0566037735849054</v>
      </c>
      <c r="F337">
        <v>674</v>
      </c>
      <c r="G337" s="35">
        <v>703.76364590681476</v>
      </c>
      <c r="H337" s="5">
        <v>262.18510280808459</v>
      </c>
      <c r="I337" s="5">
        <v>262.1852490961378</v>
      </c>
      <c r="J337" s="5">
        <v>262.18044443477771</v>
      </c>
      <c r="K337" s="5">
        <v>796.52499999999998</v>
      </c>
      <c r="L337" s="5">
        <v>737.77402414892083</v>
      </c>
      <c r="M337" s="5">
        <v>734.94274512327513</v>
      </c>
      <c r="N337" s="5">
        <v>590.22092129240446</v>
      </c>
      <c r="O337" s="5">
        <v>629.65635642262555</v>
      </c>
      <c r="P337">
        <v>657.55986998357037</v>
      </c>
      <c r="Q337" s="5">
        <v>752.9308679546624</v>
      </c>
      <c r="R337" s="5">
        <v>661.55279541015625</v>
      </c>
      <c r="S337" s="5">
        <v>828.4459228515625</v>
      </c>
      <c r="T337" s="5">
        <v>809.06346519752094</v>
      </c>
      <c r="U337" s="5">
        <v>803.85351227281478</v>
      </c>
      <c r="V337" s="5">
        <v>709.1677663377618</v>
      </c>
      <c r="W337" s="5">
        <v>741.46983085725788</v>
      </c>
      <c r="X337" s="5">
        <v>670.28396589961153</v>
      </c>
      <c r="Y337" s="5">
        <v>572.30773772589623</v>
      </c>
    </row>
    <row r="338" spans="1:25">
      <c r="A338">
        <v>219.1</v>
      </c>
      <c r="B338">
        <v>6.3</v>
      </c>
      <c r="C338">
        <v>300</v>
      </c>
      <c r="D338">
        <v>169.26499999999999</v>
      </c>
      <c r="E338">
        <v>2.7384755819260609</v>
      </c>
      <c r="F338">
        <v>7569</v>
      </c>
      <c r="G338" s="35">
        <v>7354.5150898094398</v>
      </c>
      <c r="H338" s="5">
        <v>6724.6715366623057</v>
      </c>
      <c r="I338" s="5">
        <v>6724.6710315615273</v>
      </c>
      <c r="J338" s="5">
        <v>6724.611324114564</v>
      </c>
      <c r="K338" s="5">
        <v>7495.875</v>
      </c>
      <c r="L338" s="5">
        <v>7348.8699194172159</v>
      </c>
      <c r="M338" s="5">
        <v>7371.174757281553</v>
      </c>
      <c r="N338" s="5">
        <v>7204.6688446670923</v>
      </c>
      <c r="O338" s="5">
        <v>7382.2473057729694</v>
      </c>
      <c r="P338">
        <v>7516.3701560203581</v>
      </c>
      <c r="Q338" s="5">
        <v>7209.6039040878986</v>
      </c>
      <c r="R338" s="5">
        <v>7164.796875</v>
      </c>
      <c r="S338" s="5">
        <v>7247.4248046875</v>
      </c>
      <c r="T338" s="5">
        <v>7529.2387558182472</v>
      </c>
      <c r="U338" s="5">
        <v>7488.3523730274901</v>
      </c>
      <c r="V338" s="5">
        <v>6422.5418803379598</v>
      </c>
    </row>
    <row r="339" spans="1:25">
      <c r="A339">
        <v>89.32</v>
      </c>
      <c r="B339">
        <v>2.74</v>
      </c>
      <c r="C339">
        <v>360</v>
      </c>
      <c r="D339">
        <v>32.619339776920157</v>
      </c>
      <c r="E339">
        <v>3.8065382892969102</v>
      </c>
      <c r="F339">
        <v>644</v>
      </c>
      <c r="G339" s="35">
        <v>573.57043681352866</v>
      </c>
      <c r="H339" s="5">
        <v>-400.48405551729587</v>
      </c>
      <c r="I339" s="5">
        <v>-400.48367208365471</v>
      </c>
      <c r="J339" s="5">
        <v>-400.45024684228878</v>
      </c>
      <c r="K339" s="5">
        <v>732.57142857142856</v>
      </c>
      <c r="L339" s="5">
        <v>578.31147712505754</v>
      </c>
      <c r="M339" s="5">
        <v>570.85158380571056</v>
      </c>
      <c r="N339" s="5">
        <v>663.68450547420491</v>
      </c>
      <c r="O339" s="5">
        <v>668.5801876964066</v>
      </c>
      <c r="P339">
        <v>651.33929869206884</v>
      </c>
      <c r="Q339" s="5">
        <v>609.28636422855129</v>
      </c>
      <c r="R339" s="5">
        <v>635.10546875</v>
      </c>
      <c r="S339" s="5">
        <v>615.9805908203125</v>
      </c>
      <c r="T339" s="5">
        <v>671.83130236528564</v>
      </c>
      <c r="U339" s="5">
        <v>614.72671789395781</v>
      </c>
      <c r="V339" s="5">
        <v>544.72768677990575</v>
      </c>
      <c r="W339" s="5">
        <v>558.71332137220566</v>
      </c>
      <c r="X339" s="5">
        <v>541.48724124537546</v>
      </c>
      <c r="Y339" s="5">
        <v>434.48352868002979</v>
      </c>
    </row>
    <row r="340" spans="1:25">
      <c r="A340">
        <v>165</v>
      </c>
      <c r="B340">
        <v>2</v>
      </c>
      <c r="C340">
        <v>338</v>
      </c>
      <c r="D340">
        <v>49.777395755965507</v>
      </c>
      <c r="E340">
        <v>3.0303030303030298</v>
      </c>
      <c r="F340">
        <v>1920.8</v>
      </c>
      <c r="G340" s="35">
        <v>2234.4</v>
      </c>
      <c r="H340" s="5">
        <v>1997.417648419761</v>
      </c>
      <c r="I340" s="5">
        <v>1997.417560675528</v>
      </c>
      <c r="J340" s="5">
        <v>1997.445173360813</v>
      </c>
      <c r="K340" s="5">
        <v>2218.0461538461541</v>
      </c>
      <c r="L340" s="5">
        <v>2235.8436069765862</v>
      </c>
      <c r="M340" s="5">
        <v>2234.3227656324329</v>
      </c>
      <c r="N340" s="5">
        <v>2208.7753027944959</v>
      </c>
      <c r="O340" s="5">
        <v>2262.3796807164272</v>
      </c>
      <c r="P340">
        <v>2292.168069292039</v>
      </c>
      <c r="Q340" s="5">
        <v>2186.9156946802968</v>
      </c>
      <c r="R340" s="5">
        <v>2236.97265625</v>
      </c>
      <c r="S340" s="5">
        <v>1963.3641357421875</v>
      </c>
      <c r="T340" s="5">
        <v>1695.8383351833138</v>
      </c>
      <c r="U340" s="5">
        <v>1574.1720587285729</v>
      </c>
      <c r="V340" s="5">
        <v>1329.089107884829</v>
      </c>
      <c r="W340" s="5">
        <v>1361.7303335383394</v>
      </c>
      <c r="Y340" s="5">
        <v>1295.291419102135</v>
      </c>
    </row>
    <row r="341" spans="1:25">
      <c r="A341">
        <v>108</v>
      </c>
      <c r="B341">
        <v>8</v>
      </c>
      <c r="C341">
        <v>351</v>
      </c>
      <c r="D341">
        <v>77.920000000000016</v>
      </c>
      <c r="E341">
        <v>3</v>
      </c>
      <c r="F341">
        <v>1893</v>
      </c>
      <c r="G341" s="35">
        <v>1893.271257905832</v>
      </c>
      <c r="H341" s="5">
        <v>2395.7031107029029</v>
      </c>
      <c r="I341" s="5">
        <v>2395.7035468633321</v>
      </c>
      <c r="J341" s="5">
        <v>2395.6752192392469</v>
      </c>
      <c r="K341" s="5">
        <v>1724.0619999999999</v>
      </c>
      <c r="L341" s="5">
        <v>1882.0550723859469</v>
      </c>
      <c r="M341" s="5">
        <v>1896.50647249191</v>
      </c>
      <c r="N341" s="5">
        <v>1859.8748608805161</v>
      </c>
      <c r="O341" s="5">
        <v>1867.6104866484229</v>
      </c>
      <c r="P341">
        <v>1911.3801997672131</v>
      </c>
      <c r="Q341" s="5">
        <v>1802.444965287827</v>
      </c>
      <c r="R341" s="5">
        <v>1896.714111328125</v>
      </c>
      <c r="S341" s="5">
        <v>1825.8255615234375</v>
      </c>
      <c r="T341" s="5">
        <v>1966.6993250740902</v>
      </c>
      <c r="U341" s="5">
        <v>1947.0797072326711</v>
      </c>
      <c r="V341" s="5">
        <v>1721.5557721799235</v>
      </c>
    </row>
    <row r="342" spans="1:25">
      <c r="A342">
        <v>166</v>
      </c>
      <c r="B342">
        <v>5</v>
      </c>
      <c r="C342">
        <v>288.10000000000002</v>
      </c>
      <c r="D342">
        <v>54.33</v>
      </c>
      <c r="E342">
        <v>6.2650602409638552</v>
      </c>
      <c r="F342">
        <v>1862</v>
      </c>
      <c r="G342" s="35">
        <v>1704.8755808704309</v>
      </c>
      <c r="H342" s="5">
        <v>2927.2490205310569</v>
      </c>
      <c r="I342" s="5">
        <v>2927.2487206740939</v>
      </c>
      <c r="J342" s="5">
        <v>2927.1794638461729</v>
      </c>
      <c r="K342" s="5">
        <v>1799.6181818181819</v>
      </c>
      <c r="L342" s="5">
        <v>2075.7969063164928</v>
      </c>
      <c r="M342" s="5">
        <v>1950.5060567295679</v>
      </c>
      <c r="N342" s="5">
        <v>1817.481785337638</v>
      </c>
      <c r="O342" s="5">
        <v>1791.639794589141</v>
      </c>
      <c r="P342">
        <v>1898.337946831683</v>
      </c>
      <c r="Q342" s="5">
        <v>1910.369016706363</v>
      </c>
      <c r="R342" s="5">
        <v>1924.499633789062</v>
      </c>
      <c r="S342" s="5">
        <v>1713.3238525390625</v>
      </c>
      <c r="T342" s="5">
        <v>1953.5376662443584</v>
      </c>
      <c r="U342" s="5">
        <v>2218.765299649574</v>
      </c>
      <c r="V342" s="5">
        <v>1918.8893248203401</v>
      </c>
      <c r="W342" s="5">
        <v>2115.3022598345187</v>
      </c>
      <c r="X342" s="5">
        <v>1813.957428407304</v>
      </c>
      <c r="Y342" s="5">
        <v>1660.842143372751</v>
      </c>
    </row>
    <row r="343" spans="1:25">
      <c r="A343">
        <v>267.39999999999998</v>
      </c>
      <c r="B343">
        <v>7</v>
      </c>
      <c r="C343">
        <v>460.91255000000001</v>
      </c>
      <c r="D343">
        <v>55.897905000000002</v>
      </c>
      <c r="E343">
        <v>5.9835452505609581</v>
      </c>
      <c r="F343">
        <v>5180.8532101299306</v>
      </c>
      <c r="G343" s="35">
        <v>5177.624224089941</v>
      </c>
      <c r="H343" s="5">
        <v>7396.3962573825393</v>
      </c>
      <c r="I343" s="5">
        <v>7396.3953468418067</v>
      </c>
      <c r="J343" s="5">
        <v>7396.2651285382017</v>
      </c>
      <c r="K343" s="5">
        <v>5478.0862695989399</v>
      </c>
      <c r="L343" s="5">
        <v>5439.6544737746417</v>
      </c>
      <c r="M343" s="5">
        <v>5180</v>
      </c>
      <c r="N343" s="5">
        <v>5193.4276553565851</v>
      </c>
      <c r="O343" s="5">
        <v>5248.5193827515477</v>
      </c>
      <c r="P343">
        <v>5242.6322566189128</v>
      </c>
      <c r="Q343" s="5">
        <v>5218.6566077228608</v>
      </c>
      <c r="R343" s="5">
        <v>5210.05517578125</v>
      </c>
      <c r="S343" s="5">
        <v>5162.26708984375</v>
      </c>
      <c r="T343" s="5">
        <v>5850.8648569681027</v>
      </c>
      <c r="U343" s="5">
        <v>7094.8728894907126</v>
      </c>
      <c r="V343" s="5">
        <v>6199.5216791061439</v>
      </c>
      <c r="W343" s="5">
        <v>6444.7308532587194</v>
      </c>
      <c r="Y343" s="5">
        <v>5117.907581061545</v>
      </c>
    </row>
    <row r="344" spans="1:25">
      <c r="A344">
        <v>101.7</v>
      </c>
      <c r="B344">
        <v>2.4</v>
      </c>
      <c r="C344">
        <v>380</v>
      </c>
      <c r="D344">
        <v>57</v>
      </c>
      <c r="E344">
        <v>3.5004916420845622</v>
      </c>
      <c r="F344">
        <v>740</v>
      </c>
      <c r="G344" s="35">
        <v>730</v>
      </c>
      <c r="H344" s="5">
        <v>375.77523711896418</v>
      </c>
      <c r="I344" s="5">
        <v>375.77543172038099</v>
      </c>
      <c r="J344" s="5">
        <v>375.78473036982967</v>
      </c>
      <c r="K344" s="5">
        <v>824.28571428571433</v>
      </c>
      <c r="L344" s="5">
        <v>745.5873769835224</v>
      </c>
      <c r="M344" s="5">
        <v>730.21044115142217</v>
      </c>
      <c r="N344" s="5">
        <v>701.00655133541272</v>
      </c>
      <c r="O344" s="5">
        <v>731.70376731189003</v>
      </c>
      <c r="P344">
        <v>759.11404117521488</v>
      </c>
      <c r="Q344" s="5">
        <v>771.48991422139795</v>
      </c>
      <c r="R344" s="5">
        <v>728.43609619140625</v>
      </c>
      <c r="S344" s="5">
        <v>960.4171142578125</v>
      </c>
      <c r="T344" s="5">
        <v>958.74882380225131</v>
      </c>
      <c r="U344" s="5">
        <v>881.2536043509308</v>
      </c>
      <c r="V344" s="5">
        <v>761.61272899635583</v>
      </c>
      <c r="W344" s="5">
        <v>865.92753279700639</v>
      </c>
      <c r="X344" s="5">
        <v>801.20846410600382</v>
      </c>
      <c r="Y344" s="5">
        <v>675.40943600121273</v>
      </c>
    </row>
    <row r="345" spans="1:25">
      <c r="A345">
        <v>101.5</v>
      </c>
      <c r="B345">
        <v>3.03</v>
      </c>
      <c r="C345">
        <v>371</v>
      </c>
      <c r="D345">
        <v>51.3</v>
      </c>
      <c r="E345">
        <v>3.0049261083743839</v>
      </c>
      <c r="F345">
        <v>859</v>
      </c>
      <c r="G345" s="35">
        <v>862</v>
      </c>
      <c r="H345" s="5">
        <v>439.39585216449132</v>
      </c>
      <c r="I345" s="5">
        <v>439.39616485699048</v>
      </c>
      <c r="J345" s="5">
        <v>439.40596735030641</v>
      </c>
      <c r="K345" s="5">
        <v>818.38461538461536</v>
      </c>
      <c r="L345" s="5">
        <v>854.6479769790393</v>
      </c>
      <c r="M345" s="5">
        <v>861.09673304648436</v>
      </c>
      <c r="N345" s="5">
        <v>846.94572128778043</v>
      </c>
      <c r="O345" s="5">
        <v>859.60568822856885</v>
      </c>
      <c r="P345">
        <v>830.8656591921515</v>
      </c>
      <c r="Q345" s="5">
        <v>814.54868143302451</v>
      </c>
      <c r="R345" s="5">
        <v>865.3668212890625</v>
      </c>
      <c r="S345" s="5">
        <v>866.0625</v>
      </c>
      <c r="T345" s="5">
        <v>1006.6197152597118</v>
      </c>
      <c r="U345" s="5">
        <v>930.36089093069666</v>
      </c>
      <c r="V345" s="5">
        <v>812.98153062026006</v>
      </c>
      <c r="W345" s="5">
        <v>895.99605852170021</v>
      </c>
      <c r="X345" s="5">
        <v>856.69325280187229</v>
      </c>
      <c r="Y345" s="5">
        <v>690.74630175611401</v>
      </c>
    </row>
    <row r="346" spans="1:25">
      <c r="A346">
        <v>96</v>
      </c>
      <c r="B346">
        <v>5</v>
      </c>
      <c r="C346">
        <v>410</v>
      </c>
      <c r="D346">
        <v>17.825649746265189</v>
      </c>
      <c r="E346">
        <v>4.6875</v>
      </c>
      <c r="F346">
        <v>1044</v>
      </c>
      <c r="G346" s="35">
        <v>1167</v>
      </c>
      <c r="H346" s="5">
        <v>448.25084410915179</v>
      </c>
      <c r="I346" s="5">
        <v>448.25117910780949</v>
      </c>
      <c r="J346" s="5">
        <v>448.24089039442902</v>
      </c>
      <c r="K346" s="5">
        <v>1094.52687271323</v>
      </c>
      <c r="L346" s="5">
        <v>1106.356749343277</v>
      </c>
      <c r="M346" s="5">
        <v>1166.2507192301359</v>
      </c>
      <c r="N346" s="5">
        <v>1048.879328822178</v>
      </c>
      <c r="O346" s="5">
        <v>1120.6021023823839</v>
      </c>
      <c r="P346">
        <v>1093.4741683723389</v>
      </c>
      <c r="Q346" s="5">
        <v>1049.442913769898</v>
      </c>
      <c r="R346" s="5">
        <v>1165.103271484375</v>
      </c>
      <c r="S346" s="5">
        <v>1053.1490478515625</v>
      </c>
      <c r="T346" s="5">
        <v>1026.1486983227483</v>
      </c>
      <c r="U346" s="5">
        <v>1052.9695775371499</v>
      </c>
      <c r="V346" s="5">
        <v>954.89502145442327</v>
      </c>
      <c r="W346" s="5">
        <v>817.38752496413554</v>
      </c>
    </row>
    <row r="347" spans="1:25">
      <c r="A347">
        <v>165</v>
      </c>
      <c r="B347">
        <v>2</v>
      </c>
      <c r="C347">
        <v>338</v>
      </c>
      <c r="D347">
        <v>49.777395755965507</v>
      </c>
      <c r="E347">
        <v>3.0303030303030298</v>
      </c>
      <c r="F347">
        <v>2077.6</v>
      </c>
      <c r="G347" s="35">
        <v>1925.7</v>
      </c>
      <c r="H347" s="5">
        <v>2000.3000121058419</v>
      </c>
      <c r="I347" s="5">
        <v>2000.299925612856</v>
      </c>
      <c r="J347" s="5">
        <v>2000.3268224605861</v>
      </c>
      <c r="K347" s="5">
        <v>1909.3714285714291</v>
      </c>
      <c r="L347" s="5">
        <v>1965.2112935800981</v>
      </c>
      <c r="M347" s="5">
        <v>1925.2993851132751</v>
      </c>
      <c r="N347" s="5">
        <v>2045.0806037521711</v>
      </c>
      <c r="O347" s="5">
        <v>2097.8670649639648</v>
      </c>
      <c r="P347">
        <v>2077.6562185612779</v>
      </c>
      <c r="Q347" s="5">
        <v>1944.0979049112359</v>
      </c>
      <c r="R347" s="5">
        <v>1935.932861328125</v>
      </c>
      <c r="S347" s="5">
        <v>1963.3641357421875</v>
      </c>
      <c r="T347" s="5">
        <v>1695.8383351833138</v>
      </c>
      <c r="U347" s="5">
        <v>1574.1720587285729</v>
      </c>
      <c r="V347" s="5">
        <v>1329.089107884829</v>
      </c>
      <c r="W347" s="5">
        <v>1361.7303335383394</v>
      </c>
      <c r="Y347" s="5">
        <v>1295.291419102135</v>
      </c>
    </row>
    <row r="348" spans="1:25">
      <c r="A348">
        <v>200</v>
      </c>
      <c r="B348">
        <v>3</v>
      </c>
      <c r="C348">
        <v>303.5</v>
      </c>
      <c r="D348">
        <v>46.8</v>
      </c>
      <c r="E348">
        <v>3</v>
      </c>
      <c r="F348">
        <v>2320</v>
      </c>
      <c r="G348" s="35">
        <v>2319.5</v>
      </c>
      <c r="H348" s="5">
        <v>3245.189802212924</v>
      </c>
      <c r="I348" s="5">
        <v>3245.1896004487662</v>
      </c>
      <c r="J348" s="5">
        <v>3245.2291859007059</v>
      </c>
      <c r="K348" s="5">
        <v>2128.91</v>
      </c>
      <c r="L348" s="5">
        <v>2320.6981735145591</v>
      </c>
      <c r="M348" s="5">
        <v>2319.5671521035601</v>
      </c>
      <c r="N348" s="5">
        <v>2378.0712699679389</v>
      </c>
      <c r="O348" s="5">
        <v>2342.8286005708601</v>
      </c>
      <c r="P348">
        <v>2256.025059912974</v>
      </c>
      <c r="Q348" s="5">
        <v>2200.2680538597979</v>
      </c>
      <c r="R348" s="5">
        <v>2316.074951171875</v>
      </c>
      <c r="S348" s="5">
        <v>2597.41064453125</v>
      </c>
      <c r="T348" s="5">
        <v>2279.7580560651386</v>
      </c>
      <c r="U348" s="5">
        <v>2296.2471532472955</v>
      </c>
      <c r="V348" s="5">
        <v>1950.1935903376136</v>
      </c>
      <c r="W348" s="5">
        <v>1938.6279986244717</v>
      </c>
      <c r="X348" s="5">
        <v>2190.4064807208802</v>
      </c>
      <c r="Y348" s="5">
        <v>1860.9827171413419</v>
      </c>
    </row>
    <row r="349" spans="1:25">
      <c r="A349">
        <v>159</v>
      </c>
      <c r="B349">
        <v>4.8</v>
      </c>
      <c r="C349">
        <v>433</v>
      </c>
      <c r="D349">
        <v>64.5</v>
      </c>
      <c r="E349">
        <v>4.0880503144654092</v>
      </c>
      <c r="F349">
        <v>2150</v>
      </c>
      <c r="G349" s="35">
        <v>1543.50936382532</v>
      </c>
      <c r="H349" s="5">
        <v>3239.0000651850678</v>
      </c>
      <c r="I349" s="5">
        <v>3238.9998999481909</v>
      </c>
      <c r="J349" s="5">
        <v>3238.9491836585062</v>
      </c>
      <c r="K349" s="5">
        <v>1799.6181818181819</v>
      </c>
      <c r="L349" s="5">
        <v>2374.1044272215508</v>
      </c>
      <c r="M349" s="5">
        <v>2473.9750882436051</v>
      </c>
      <c r="N349" s="5">
        <v>2680.4735389320872</v>
      </c>
      <c r="O349" s="5">
        <v>2851.5424791095329</v>
      </c>
      <c r="P349">
        <v>2947.5803442928259</v>
      </c>
      <c r="Q349" s="5">
        <v>2404.8353933765511</v>
      </c>
      <c r="R349" s="5">
        <v>2887.008544921875</v>
      </c>
      <c r="S349" s="5">
        <v>3438.572265625</v>
      </c>
      <c r="T349" s="5">
        <v>2682.2964866753837</v>
      </c>
      <c r="U349" s="5">
        <v>2761.8006124145536</v>
      </c>
      <c r="V349" s="5">
        <v>2408.2470843216011</v>
      </c>
      <c r="W349" s="5">
        <v>2610.1280337801586</v>
      </c>
      <c r="Y349" s="5">
        <v>2044.7950137267969</v>
      </c>
    </row>
    <row r="350" spans="1:25">
      <c r="A350">
        <v>101.8</v>
      </c>
      <c r="B350">
        <v>2.94</v>
      </c>
      <c r="C350">
        <v>320</v>
      </c>
      <c r="D350">
        <v>37.4</v>
      </c>
      <c r="E350">
        <v>1.9646365422396861</v>
      </c>
      <c r="F350">
        <v>660</v>
      </c>
      <c r="G350" s="35">
        <v>1035.908877889724</v>
      </c>
      <c r="H350" s="5">
        <v>-177.658839281577</v>
      </c>
      <c r="I350" s="5">
        <v>-177.65827092767361</v>
      </c>
      <c r="J350" s="5">
        <v>-177.57264094622539</v>
      </c>
      <c r="K350" s="5">
        <v>796.52499999999998</v>
      </c>
      <c r="L350" s="5">
        <v>802.43878134813042</v>
      </c>
      <c r="M350" s="5">
        <v>755.7196945577856</v>
      </c>
      <c r="N350" s="5">
        <v>587.87521343096034</v>
      </c>
      <c r="O350" s="5">
        <v>679.73127700220107</v>
      </c>
      <c r="P350">
        <v>690.30212698663036</v>
      </c>
      <c r="Q350" s="5">
        <v>759.89171046832394</v>
      </c>
      <c r="R350" s="5">
        <v>640.0750732421875</v>
      </c>
      <c r="S350" s="5">
        <v>792.793701171875</v>
      </c>
      <c r="T350" s="5">
        <v>936.38982563240711</v>
      </c>
      <c r="U350" s="5">
        <v>743.60924581315578</v>
      </c>
      <c r="V350" s="5">
        <v>652.67146057435968</v>
      </c>
      <c r="W350" s="5">
        <v>703.86037131875901</v>
      </c>
      <c r="X350" s="5">
        <v>730.6615286128316</v>
      </c>
      <c r="Y350" s="5">
        <v>547.328595199593</v>
      </c>
    </row>
    <row r="351" spans="1:25">
      <c r="A351">
        <v>190</v>
      </c>
      <c r="B351">
        <v>1.94</v>
      </c>
      <c r="C351">
        <v>256.39999999999998</v>
      </c>
      <c r="D351">
        <v>74.7</v>
      </c>
      <c r="E351">
        <v>3.492105263157895</v>
      </c>
      <c r="F351">
        <v>2592</v>
      </c>
      <c r="G351" s="35">
        <v>1798.7631745930089</v>
      </c>
      <c r="H351" s="5">
        <v>2956.4229825017128</v>
      </c>
      <c r="I351" s="5">
        <v>2956.422684829829</v>
      </c>
      <c r="J351" s="5">
        <v>2956.4534448094332</v>
      </c>
      <c r="K351" s="5">
        <v>2959.6153846153852</v>
      </c>
      <c r="L351" s="5">
        <v>2681.5164800064758</v>
      </c>
      <c r="M351" s="5">
        <v>2509.846267441395</v>
      </c>
      <c r="N351" s="5">
        <v>2780.7956344166382</v>
      </c>
      <c r="O351" s="5">
        <v>2740.721135415477</v>
      </c>
      <c r="P351">
        <v>2705.6859625426232</v>
      </c>
      <c r="Q351" s="5">
        <v>2648.206243621963</v>
      </c>
      <c r="R351" s="5">
        <v>2933.670654296875</v>
      </c>
      <c r="S351" s="5">
        <v>2475.894287109375</v>
      </c>
      <c r="T351" s="5">
        <v>2466.7977095075357</v>
      </c>
      <c r="U351" s="5">
        <v>2508.4222054422003</v>
      </c>
      <c r="V351" s="5">
        <v>2066.0723074916486</v>
      </c>
    </row>
    <row r="352" spans="1:25">
      <c r="A352">
        <v>121</v>
      </c>
      <c r="B352">
        <v>12</v>
      </c>
      <c r="C352">
        <v>294</v>
      </c>
      <c r="D352">
        <v>28.45</v>
      </c>
      <c r="E352">
        <v>4.1322314049586772</v>
      </c>
      <c r="F352">
        <v>2421</v>
      </c>
      <c r="G352" s="35">
        <v>2387.7432520630668</v>
      </c>
      <c r="H352" s="5">
        <v>2996.5679285587621</v>
      </c>
      <c r="I352" s="5">
        <v>2996.568532427852</v>
      </c>
      <c r="J352" s="5">
        <v>2996.5531933933189</v>
      </c>
      <c r="K352" s="5">
        <v>2370.5632792658939</v>
      </c>
      <c r="L352" s="5">
        <v>2541.5063297303159</v>
      </c>
      <c r="M352" s="5">
        <v>2555.9975050505641</v>
      </c>
      <c r="N352" s="5">
        <v>2604.8611956526861</v>
      </c>
      <c r="O352" s="5">
        <v>2653.938265183981</v>
      </c>
      <c r="P352">
        <v>2366.7826163364239</v>
      </c>
      <c r="Q352" s="5">
        <v>2421.212249175092</v>
      </c>
      <c r="R352" s="5">
        <v>2675.123291015625</v>
      </c>
      <c r="S352" s="5">
        <v>2380.776611328125</v>
      </c>
      <c r="T352" s="5">
        <v>2390.8432561994027</v>
      </c>
      <c r="U352" s="5">
        <v>2167.3714277968024</v>
      </c>
      <c r="V352" s="5">
        <v>1948.5309285680914</v>
      </c>
      <c r="W352" s="5">
        <v>1699.2995903332039</v>
      </c>
      <c r="X352" s="5">
        <v>1712.171944454647</v>
      </c>
      <c r="Y352" s="5">
        <v>1392.162409204805</v>
      </c>
    </row>
    <row r="353" spans="1:25">
      <c r="A353">
        <v>131</v>
      </c>
      <c r="B353">
        <v>4</v>
      </c>
      <c r="C353">
        <v>306</v>
      </c>
      <c r="D353">
        <v>57.28</v>
      </c>
      <c r="E353">
        <v>3</v>
      </c>
      <c r="F353">
        <v>1482</v>
      </c>
      <c r="G353" s="35">
        <v>1482.111258278145</v>
      </c>
      <c r="H353" s="5">
        <v>1536.4252170374259</v>
      </c>
      <c r="I353" s="5">
        <v>1536.425422258332</v>
      </c>
      <c r="J353" s="5">
        <v>1536.4394424815639</v>
      </c>
      <c r="K353" s="5">
        <v>1460.181818181818</v>
      </c>
      <c r="L353" s="5">
        <v>1465.8839262785821</v>
      </c>
      <c r="M353" s="5">
        <v>1490.509944101206</v>
      </c>
      <c r="N353" s="5">
        <v>1332.28637253441</v>
      </c>
      <c r="O353" s="5">
        <v>1416.566675407757</v>
      </c>
      <c r="P353">
        <v>1455.3164881511241</v>
      </c>
      <c r="Q353" s="5">
        <v>1408.1078365650731</v>
      </c>
      <c r="R353" s="5">
        <v>1408.903442382812</v>
      </c>
      <c r="S353" s="5">
        <v>1493.9742431640625</v>
      </c>
      <c r="T353" s="5">
        <v>1539.1447636298731</v>
      </c>
      <c r="U353" s="5">
        <v>1471.7514608688773</v>
      </c>
      <c r="V353" s="5">
        <v>1273.7893276230991</v>
      </c>
      <c r="W353" s="5">
        <v>1422.3933381774457</v>
      </c>
      <c r="X353" s="5">
        <v>1372.2641175763531</v>
      </c>
      <c r="Y353" s="5">
        <v>1126.2404064053001</v>
      </c>
    </row>
    <row r="354" spans="1:25">
      <c r="A354">
        <v>166</v>
      </c>
      <c r="B354">
        <v>5</v>
      </c>
      <c r="C354">
        <v>274.39999999999998</v>
      </c>
      <c r="D354">
        <v>29.62</v>
      </c>
      <c r="E354">
        <v>6.6265060240963853</v>
      </c>
      <c r="F354">
        <v>1985</v>
      </c>
      <c r="G354" s="35">
        <v>1957.107082259231</v>
      </c>
      <c r="H354" s="5">
        <v>2563.725268997056</v>
      </c>
      <c r="I354" s="5">
        <v>2563.7250188258522</v>
      </c>
      <c r="J354" s="5">
        <v>2563.6738477772028</v>
      </c>
      <c r="K354" s="5">
        <v>1649.578090114197</v>
      </c>
      <c r="L354" s="5">
        <v>1853.7082741603431</v>
      </c>
      <c r="M354" s="5">
        <v>1967.4686103030219</v>
      </c>
      <c r="N354" s="5">
        <v>1709.111292199736</v>
      </c>
      <c r="O354" s="5">
        <v>1912.9617692726699</v>
      </c>
      <c r="P354">
        <v>1888.69914936339</v>
      </c>
      <c r="Q354" s="5">
        <v>1753.7003661797869</v>
      </c>
      <c r="R354" s="5">
        <v>1918.400512695312</v>
      </c>
      <c r="S354" s="5">
        <v>1671.3504638671875</v>
      </c>
      <c r="T354" s="5">
        <v>1526.0620947931945</v>
      </c>
      <c r="U354" s="5">
        <v>1690.3437290330673</v>
      </c>
      <c r="V354" s="5">
        <v>1489.3102909377585</v>
      </c>
      <c r="W354" s="5">
        <v>1541.9718731273672</v>
      </c>
      <c r="X354" s="5">
        <v>1341.306945535282</v>
      </c>
      <c r="Y354" s="5">
        <v>1197.4494839980639</v>
      </c>
    </row>
    <row r="355" spans="1:25">
      <c r="A355">
        <v>235</v>
      </c>
      <c r="B355">
        <v>5.66</v>
      </c>
      <c r="C355">
        <v>290</v>
      </c>
      <c r="D355">
        <v>73.2</v>
      </c>
      <c r="E355">
        <v>2</v>
      </c>
      <c r="F355">
        <v>5047</v>
      </c>
      <c r="G355" s="35">
        <v>5243</v>
      </c>
      <c r="H355" s="5">
        <v>5440.9588822926426</v>
      </c>
      <c r="I355" s="5">
        <v>5440.9586709872929</v>
      </c>
      <c r="J355" s="5">
        <v>5440.9713902727017</v>
      </c>
      <c r="K355" s="5">
        <v>5999.0670352489578</v>
      </c>
      <c r="L355" s="5">
        <v>5452.262061735003</v>
      </c>
      <c r="M355" s="5">
        <v>5243</v>
      </c>
      <c r="N355" s="5">
        <v>5536.0621611099277</v>
      </c>
      <c r="O355" s="5">
        <v>5333.5376664942332</v>
      </c>
      <c r="P355">
        <v>5392.9292476066548</v>
      </c>
      <c r="Q355" s="5">
        <v>5514.261720160288</v>
      </c>
      <c r="R355" s="5">
        <v>5252.5966796875</v>
      </c>
      <c r="S355" s="5">
        <v>5256.18701171875</v>
      </c>
      <c r="T355" s="5">
        <v>5213.6242997761665</v>
      </c>
      <c r="U355" s="5">
        <v>4792.2791821779083</v>
      </c>
      <c r="V355" s="5">
        <v>4069.0038039997289</v>
      </c>
    </row>
    <row r="356" spans="1:25">
      <c r="A356">
        <v>166</v>
      </c>
      <c r="B356">
        <v>5</v>
      </c>
      <c r="C356">
        <v>274.39999999999998</v>
      </c>
      <c r="D356">
        <v>29.62</v>
      </c>
      <c r="E356">
        <v>3.975903614457831</v>
      </c>
      <c r="F356">
        <v>1695</v>
      </c>
      <c r="G356" s="35">
        <v>1904.666666666667</v>
      </c>
      <c r="H356" s="5">
        <v>2375.068283967837</v>
      </c>
      <c r="I356" s="5">
        <v>2375.0683342862799</v>
      </c>
      <c r="J356" s="5">
        <v>2375.0832539936032</v>
      </c>
      <c r="K356" s="5">
        <v>1937.9079536799629</v>
      </c>
      <c r="L356" s="5">
        <v>1941.6271765172439</v>
      </c>
      <c r="M356" s="5">
        <v>1935.014124317589</v>
      </c>
      <c r="N356" s="5">
        <v>1957.939256619366</v>
      </c>
      <c r="O356" s="5">
        <v>1949.301888980732</v>
      </c>
      <c r="P356">
        <v>1923.72164748094</v>
      </c>
      <c r="Q356" s="5">
        <v>1801.283437786484</v>
      </c>
      <c r="R356" s="5">
        <v>1931.762817382812</v>
      </c>
      <c r="S356" s="5">
        <v>1917.22314453125</v>
      </c>
      <c r="T356" s="5">
        <v>1814.8103786117317</v>
      </c>
      <c r="U356" s="5">
        <v>1690.3437290330673</v>
      </c>
      <c r="V356" s="5">
        <v>1489.3102909377585</v>
      </c>
      <c r="W356" s="5">
        <v>1541.9718731273672</v>
      </c>
      <c r="X356" s="5">
        <v>1514.976847697214</v>
      </c>
      <c r="Y356" s="5">
        <v>1219.312908405215</v>
      </c>
    </row>
    <row r="357" spans="1:25">
      <c r="A357">
        <v>140</v>
      </c>
      <c r="B357">
        <v>2.5</v>
      </c>
      <c r="C357">
        <v>433.2</v>
      </c>
      <c r="D357">
        <v>38.880000000000003</v>
      </c>
      <c r="E357">
        <v>6</v>
      </c>
      <c r="F357">
        <v>1124</v>
      </c>
      <c r="G357" s="35">
        <v>1340.3842363649169</v>
      </c>
      <c r="H357" s="5">
        <v>1726.031253975058</v>
      </c>
      <c r="I357" s="5">
        <v>1726.030965066893</v>
      </c>
      <c r="J357" s="5">
        <v>1725.96760818803</v>
      </c>
      <c r="K357" s="5">
        <v>1451</v>
      </c>
      <c r="L357" s="5">
        <v>1354.8818611852</v>
      </c>
      <c r="M357" s="5">
        <v>1280.344607270458</v>
      </c>
      <c r="N357" s="5">
        <v>1372.213878546318</v>
      </c>
      <c r="O357" s="5">
        <v>1267.5922490025771</v>
      </c>
      <c r="P357">
        <v>1157.4456282850449</v>
      </c>
      <c r="Q357" s="5">
        <v>1202.5899455165711</v>
      </c>
      <c r="R357" s="5">
        <v>1284.761108398438</v>
      </c>
      <c r="S357" s="5">
        <v>1397.24560546875</v>
      </c>
      <c r="T357" s="5">
        <v>1169.1347152659971</v>
      </c>
      <c r="U357" s="5">
        <v>1314.3960277703288</v>
      </c>
      <c r="V357" s="5">
        <v>1145.2010475786606</v>
      </c>
      <c r="W357" s="5">
        <v>1094.8558763224746</v>
      </c>
      <c r="X357" s="5">
        <v>1053.332039384949</v>
      </c>
      <c r="Y357" s="5">
        <v>961.19441686278651</v>
      </c>
    </row>
    <row r="358" spans="1:25">
      <c r="A358">
        <v>166</v>
      </c>
      <c r="B358">
        <v>5</v>
      </c>
      <c r="C358">
        <v>274.60000000000002</v>
      </c>
      <c r="D358">
        <v>18.720078217418219</v>
      </c>
      <c r="E358">
        <v>3.975903614457831</v>
      </c>
      <c r="F358">
        <v>1697</v>
      </c>
      <c r="G358" s="35">
        <v>1854.333333333333</v>
      </c>
      <c r="H358" s="5">
        <v>2207.0608244579189</v>
      </c>
      <c r="I358" s="5">
        <v>2207.0609286827862</v>
      </c>
      <c r="J358" s="5">
        <v>2207.0845582204101</v>
      </c>
      <c r="K358" s="5">
        <v>1843.879204579544</v>
      </c>
      <c r="L358" s="5">
        <v>1874.3009888620099</v>
      </c>
      <c r="M358" s="5">
        <v>1876.1539642488749</v>
      </c>
      <c r="N358" s="5">
        <v>1898.2263797576691</v>
      </c>
      <c r="O358" s="5">
        <v>1882.0515618117649</v>
      </c>
      <c r="P358">
        <v>1859.3124435078701</v>
      </c>
      <c r="Q358" s="5">
        <v>1747.6595612667779</v>
      </c>
      <c r="R358" s="5">
        <v>1873.790893554688</v>
      </c>
      <c r="S358" s="5">
        <v>1805.3082275390625</v>
      </c>
      <c r="T358" s="5">
        <v>1679.9889098782562</v>
      </c>
      <c r="U358" s="5">
        <v>1482.8280124552666</v>
      </c>
      <c r="V358" s="5">
        <v>1323.3975976374068</v>
      </c>
      <c r="W358" s="5">
        <v>1267.3536181476302</v>
      </c>
    </row>
    <row r="359" spans="1:25">
      <c r="A359">
        <v>108</v>
      </c>
      <c r="B359">
        <v>4.2</v>
      </c>
      <c r="C359">
        <v>259.7</v>
      </c>
      <c r="D359">
        <v>20.54</v>
      </c>
      <c r="E359">
        <v>6</v>
      </c>
      <c r="F359">
        <v>722</v>
      </c>
      <c r="G359" s="35">
        <v>693.78919135076592</v>
      </c>
      <c r="H359" s="5">
        <v>229.35202864843399</v>
      </c>
      <c r="I359" s="5">
        <v>229.35221721810689</v>
      </c>
      <c r="J359" s="5">
        <v>229.34447243536991</v>
      </c>
      <c r="K359" s="5">
        <v>876.26080817667525</v>
      </c>
      <c r="L359" s="5">
        <v>759.58971772849532</v>
      </c>
      <c r="M359" s="5">
        <v>715.33603170731499</v>
      </c>
      <c r="N359" s="5">
        <v>717.0580193069718</v>
      </c>
      <c r="O359" s="5">
        <v>711.27134794673498</v>
      </c>
      <c r="P359">
        <v>758.99219386151458</v>
      </c>
      <c r="Q359" s="5">
        <v>770.75342074713058</v>
      </c>
      <c r="R359" s="5">
        <v>681.79388427734375</v>
      </c>
      <c r="S359" s="5">
        <v>794.744140625</v>
      </c>
      <c r="T359" s="5">
        <v>721.3799227033403</v>
      </c>
      <c r="U359" s="5">
        <v>736.24636623659558</v>
      </c>
      <c r="V359" s="5">
        <v>658.48505707713696</v>
      </c>
      <c r="W359" s="5">
        <v>639.67704906639665</v>
      </c>
    </row>
    <row r="360" spans="1:25">
      <c r="A360">
        <v>141.80000000000001</v>
      </c>
      <c r="B360">
        <v>4.3</v>
      </c>
      <c r="C360">
        <v>433</v>
      </c>
      <c r="D360">
        <v>60.75</v>
      </c>
      <c r="E360">
        <v>2.954866008462623</v>
      </c>
      <c r="F360">
        <v>1618</v>
      </c>
      <c r="G360" s="35">
        <v>1638.797984124388</v>
      </c>
      <c r="H360" s="5">
        <v>2405.7973031526308</v>
      </c>
      <c r="I360" s="5">
        <v>2405.7973772615528</v>
      </c>
      <c r="J360" s="5">
        <v>2405.7825746705198</v>
      </c>
      <c r="K360" s="5">
        <v>1645.1923076923081</v>
      </c>
      <c r="L360" s="5">
        <v>1782.985143010709</v>
      </c>
      <c r="M360" s="5">
        <v>1615.0100053937431</v>
      </c>
      <c r="N360" s="5">
        <v>1722.1960285357759</v>
      </c>
      <c r="O360" s="5">
        <v>1687.42782522994</v>
      </c>
      <c r="P360">
        <v>1798.2992828373669</v>
      </c>
      <c r="Q360" s="5">
        <v>1849.9124558371659</v>
      </c>
      <c r="R360" s="5">
        <v>1576.059204101562</v>
      </c>
      <c r="S360" s="5">
        <v>1897.5057373046875</v>
      </c>
      <c r="T360" s="5">
        <v>2157.962863611951</v>
      </c>
      <c r="U360" s="5">
        <v>2149.4729654891912</v>
      </c>
      <c r="V360" s="5">
        <v>1878.3621761846191</v>
      </c>
      <c r="W360" s="5">
        <v>2033.2660550857104</v>
      </c>
      <c r="Y360" s="5">
        <v>1594.107781878721</v>
      </c>
    </row>
    <row r="361" spans="1:25">
      <c r="A361">
        <v>100</v>
      </c>
      <c r="B361">
        <v>1.87</v>
      </c>
      <c r="C361">
        <v>282</v>
      </c>
      <c r="D361">
        <v>68.160000000000011</v>
      </c>
      <c r="E361">
        <v>3</v>
      </c>
      <c r="F361">
        <v>845</v>
      </c>
      <c r="G361" s="35">
        <v>712.77246417716333</v>
      </c>
      <c r="H361" s="5">
        <v>60.27021601860406</v>
      </c>
      <c r="I361" s="5">
        <v>60.270492690022373</v>
      </c>
      <c r="J361" s="5">
        <v>60.299187048770818</v>
      </c>
      <c r="K361" s="5">
        <v>1148.1320000000001</v>
      </c>
      <c r="L361" s="5">
        <v>735.62458257839808</v>
      </c>
      <c r="M361" s="5">
        <v>881.11647856142361</v>
      </c>
      <c r="N361" s="5">
        <v>789.64110926289788</v>
      </c>
      <c r="O361" s="5">
        <v>822.32425311307804</v>
      </c>
      <c r="P361">
        <v>793.41065897743147</v>
      </c>
      <c r="Q361" s="5">
        <v>685.45706070776532</v>
      </c>
      <c r="R361" s="5">
        <v>726.885498046875</v>
      </c>
      <c r="S361" s="5">
        <v>746.4036865234375</v>
      </c>
      <c r="T361" s="5">
        <v>905.88414624586619</v>
      </c>
      <c r="U361" s="5">
        <v>759.39829518342276</v>
      </c>
      <c r="V361" s="5">
        <v>640.04421970566364</v>
      </c>
      <c r="Y361" s="5">
        <v>627.66130935082015</v>
      </c>
    </row>
    <row r="362" spans="1:25">
      <c r="A362">
        <v>165</v>
      </c>
      <c r="B362">
        <v>2.82</v>
      </c>
      <c r="C362">
        <v>363.3</v>
      </c>
      <c r="D362">
        <v>48.3</v>
      </c>
      <c r="E362">
        <v>3.5181818181818181</v>
      </c>
      <c r="F362">
        <v>1662</v>
      </c>
      <c r="G362" s="35">
        <v>2318.7522702275228</v>
      </c>
      <c r="H362" s="5">
        <v>2265.5021945979661</v>
      </c>
      <c r="I362" s="5">
        <v>2265.502105630374</v>
      </c>
      <c r="J362" s="5">
        <v>2265.508006272702</v>
      </c>
      <c r="K362" s="5">
        <v>1718.55</v>
      </c>
      <c r="L362" s="5">
        <v>2169.7876499578961</v>
      </c>
      <c r="M362" s="5">
        <v>1994.7856825158531</v>
      </c>
      <c r="N362" s="5">
        <v>1873.668708230414</v>
      </c>
      <c r="O362" s="5">
        <v>1796.583774834113</v>
      </c>
      <c r="P362">
        <v>2002.3718050181681</v>
      </c>
      <c r="Q362" s="5">
        <v>2093.8426160955969</v>
      </c>
      <c r="R362" s="5">
        <v>1927.401611328125</v>
      </c>
      <c r="S362" s="5">
        <v>2272.51708984375</v>
      </c>
      <c r="T362" s="5">
        <v>1860.8789076296985</v>
      </c>
      <c r="U362" s="5">
        <v>1808.9984367533043</v>
      </c>
      <c r="V362" s="5">
        <v>1551.8179378949594</v>
      </c>
      <c r="W362" s="5">
        <v>1528.7602536862519</v>
      </c>
      <c r="X362" s="5">
        <v>1669.3569348442149</v>
      </c>
      <c r="Y362" s="5">
        <v>1419.077745941423</v>
      </c>
    </row>
    <row r="363" spans="1:25">
      <c r="A363">
        <v>107</v>
      </c>
      <c r="B363">
        <v>3.5</v>
      </c>
      <c r="C363">
        <v>379.8</v>
      </c>
      <c r="D363">
        <v>31.87</v>
      </c>
      <c r="E363">
        <v>5.0654205607476639</v>
      </c>
      <c r="F363">
        <v>835</v>
      </c>
      <c r="G363" s="35">
        <v>884.96676086794105</v>
      </c>
      <c r="H363" s="5">
        <v>568.28573444161566</v>
      </c>
      <c r="I363" s="5">
        <v>568.28585850480499</v>
      </c>
      <c r="J363" s="5">
        <v>568.26682874830021</v>
      </c>
      <c r="K363" s="5">
        <v>895.9</v>
      </c>
      <c r="L363" s="5">
        <v>898.95077092792189</v>
      </c>
      <c r="M363" s="5">
        <v>873.1974089821714</v>
      </c>
      <c r="N363" s="5">
        <v>937.48794419076432</v>
      </c>
      <c r="O363" s="5">
        <v>861.48067630746493</v>
      </c>
      <c r="P363">
        <v>811.14518231153295</v>
      </c>
      <c r="Q363" s="5">
        <v>974.80158540292462</v>
      </c>
      <c r="R363" s="5">
        <v>843.759765625</v>
      </c>
      <c r="S363" s="5">
        <v>897.2911376953125</v>
      </c>
      <c r="T363" s="5">
        <v>936.83609462807203</v>
      </c>
      <c r="U363" s="5">
        <v>950.51628658905054</v>
      </c>
      <c r="V363" s="5">
        <v>845.5008412678161</v>
      </c>
      <c r="W363" s="5">
        <v>847.296831324501</v>
      </c>
      <c r="X363" s="5">
        <v>772.0379401372544</v>
      </c>
      <c r="Y363" s="5">
        <v>656.61962825661863</v>
      </c>
    </row>
    <row r="364" spans="1:25">
      <c r="A364">
        <v>114.3</v>
      </c>
      <c r="B364">
        <v>3.35</v>
      </c>
      <c r="C364">
        <v>287.33</v>
      </c>
      <c r="D364">
        <v>81.558969977179785</v>
      </c>
      <c r="E364">
        <v>5</v>
      </c>
      <c r="F364">
        <v>1180.7</v>
      </c>
      <c r="G364" s="35">
        <v>1261.0433385783249</v>
      </c>
      <c r="H364" s="5">
        <v>1251.185048794367</v>
      </c>
      <c r="I364" s="5">
        <v>1251.1850400829039</v>
      </c>
      <c r="J364" s="5">
        <v>1251.1509207718209</v>
      </c>
      <c r="K364" s="5">
        <v>1249.01</v>
      </c>
      <c r="L364" s="5">
        <v>1240.7086462449261</v>
      </c>
      <c r="M364" s="5">
        <v>1190.7922330097081</v>
      </c>
      <c r="N364" s="5">
        <v>1217.448697169151</v>
      </c>
      <c r="O364" s="5">
        <v>1233.754084553821</v>
      </c>
      <c r="P364">
        <v>1212.626699007375</v>
      </c>
      <c r="Q364" s="5">
        <v>1220.108128772222</v>
      </c>
      <c r="R364" s="5">
        <v>1171.041748046875</v>
      </c>
      <c r="S364" s="5">
        <v>1200.072998046875</v>
      </c>
      <c r="T364" s="5">
        <v>1261.9624646237062</v>
      </c>
      <c r="U364" s="5">
        <v>1285.1511242068352</v>
      </c>
      <c r="V364" s="5">
        <v>1094.4376826512573</v>
      </c>
    </row>
    <row r="365" spans="1:25">
      <c r="A365">
        <v>122</v>
      </c>
      <c r="B365">
        <v>4.54</v>
      </c>
      <c r="C365">
        <v>576</v>
      </c>
      <c r="D365">
        <v>40.5</v>
      </c>
      <c r="E365">
        <v>3</v>
      </c>
      <c r="F365">
        <v>1663</v>
      </c>
      <c r="G365" s="35">
        <v>1657</v>
      </c>
      <c r="H365" s="5">
        <v>1973.07810930503</v>
      </c>
      <c r="I365" s="5">
        <v>1973.078215496502</v>
      </c>
      <c r="J365" s="5">
        <v>1973.046200102069</v>
      </c>
      <c r="K365" s="5">
        <v>1506.272727272727</v>
      </c>
      <c r="L365" s="5">
        <v>1646.506505248462</v>
      </c>
      <c r="M365" s="5">
        <v>1656.6407766990289</v>
      </c>
      <c r="N365" s="5">
        <v>1716.7195702169049</v>
      </c>
      <c r="O365" s="5">
        <v>1658.014378294303</v>
      </c>
      <c r="P365">
        <v>1650.7036323386039</v>
      </c>
      <c r="Q365" s="5">
        <v>1497.408883563694</v>
      </c>
      <c r="R365" s="5">
        <v>1654.021728515625</v>
      </c>
      <c r="S365" s="5">
        <v>1559.4197998046875</v>
      </c>
      <c r="T365" s="5">
        <v>1859.8506247792677</v>
      </c>
      <c r="U365" s="5">
        <v>1872.358683273437</v>
      </c>
      <c r="V365" s="5">
        <v>1764.0025392852488</v>
      </c>
      <c r="W365" s="5">
        <v>1680.1963320669463</v>
      </c>
    </row>
    <row r="366" spans="1:25">
      <c r="A366">
        <v>166</v>
      </c>
      <c r="B366">
        <v>5</v>
      </c>
      <c r="C366">
        <v>274.58620000000002</v>
      </c>
      <c r="D366">
        <v>28.813899030000002</v>
      </c>
      <c r="E366">
        <v>6.6265060240963853</v>
      </c>
      <c r="F366">
        <v>1985.846630799377</v>
      </c>
      <c r="G366" s="35">
        <v>1958.1842209164049</v>
      </c>
      <c r="H366" s="5">
        <v>2484.5458962177809</v>
      </c>
      <c r="I366" s="5">
        <v>2484.5456562414938</v>
      </c>
      <c r="J366" s="5">
        <v>2484.4915413244739</v>
      </c>
      <c r="K366" s="5">
        <v>1918.64037967431</v>
      </c>
      <c r="L366" s="5">
        <v>1892.0009093315041</v>
      </c>
      <c r="M366" s="5">
        <v>1982.4085639896359</v>
      </c>
      <c r="N366" s="5">
        <v>1794.01528827373</v>
      </c>
      <c r="O366" s="5">
        <v>1921.138916634804</v>
      </c>
      <c r="P366">
        <v>1934.637653295423</v>
      </c>
      <c r="Q366" s="5">
        <v>1746.631409109601</v>
      </c>
      <c r="R366" s="5">
        <v>1925.145874023438</v>
      </c>
      <c r="S366" s="5">
        <v>1786.0986328125</v>
      </c>
      <c r="T366" s="5">
        <v>1514.5416290284152</v>
      </c>
      <c r="U366" s="5">
        <v>1675.6992109586636</v>
      </c>
      <c r="V366" s="5">
        <v>1477.6876647227541</v>
      </c>
      <c r="W366" s="5">
        <v>1523.1379338125168</v>
      </c>
      <c r="X366" s="5">
        <v>1328.3389340685619</v>
      </c>
      <c r="Y366" s="5">
        <v>1183.9420225912711</v>
      </c>
    </row>
    <row r="367" spans="1:25">
      <c r="A367">
        <v>121</v>
      </c>
      <c r="B367">
        <v>12</v>
      </c>
      <c r="C367">
        <v>294.1995</v>
      </c>
      <c r="D367">
        <v>27.755761495000002</v>
      </c>
      <c r="E367">
        <v>4.1322314049586772</v>
      </c>
      <c r="F367">
        <v>2500.695757302919</v>
      </c>
      <c r="G367" s="35">
        <v>2422.2425570738078</v>
      </c>
      <c r="H367" s="5">
        <v>3027.7014760395</v>
      </c>
      <c r="I367" s="5">
        <v>3027.702043220715</v>
      </c>
      <c r="J367" s="5">
        <v>3027.635312814014</v>
      </c>
      <c r="K367" s="5">
        <v>2415.6332274022352</v>
      </c>
      <c r="L367" s="5">
        <v>2437.180767044676</v>
      </c>
      <c r="M367" s="5">
        <v>2422.2425570738151</v>
      </c>
      <c r="N367" s="5">
        <v>2558.426419454308</v>
      </c>
      <c r="O367" s="5">
        <v>2470.2455633590589</v>
      </c>
      <c r="P367">
        <v>2496.099359541317</v>
      </c>
      <c r="Q367" s="5">
        <v>2453.9562164854701</v>
      </c>
      <c r="R367" s="5">
        <v>2426.616943359375</v>
      </c>
      <c r="S367" s="5">
        <v>2309.0205078125</v>
      </c>
      <c r="T367" s="5">
        <v>2390.0322632659982</v>
      </c>
      <c r="U367" s="5">
        <v>2163.5691896134513</v>
      </c>
      <c r="V367" s="5">
        <v>1945.6347823764206</v>
      </c>
      <c r="W367" s="5">
        <v>1691.9390108116008</v>
      </c>
      <c r="Y367" s="5">
        <v>1388.184292416767</v>
      </c>
    </row>
    <row r="368" spans="1:25">
      <c r="A368">
        <v>630</v>
      </c>
      <c r="B368">
        <v>10.210000000000001</v>
      </c>
      <c r="C368">
        <v>323.3</v>
      </c>
      <c r="D368">
        <v>38.4</v>
      </c>
      <c r="E368">
        <v>3</v>
      </c>
      <c r="F368">
        <v>20500</v>
      </c>
      <c r="G368" s="35">
        <v>17882.379380807481</v>
      </c>
      <c r="H368" s="5">
        <v>18879.97526525956</v>
      </c>
      <c r="I368" s="5">
        <v>18879.972885320742</v>
      </c>
      <c r="J368" s="5">
        <v>18879.845305564311</v>
      </c>
      <c r="K368" s="5">
        <v>22819.166666666672</v>
      </c>
      <c r="L368" s="5">
        <v>24638.986286630039</v>
      </c>
      <c r="M368" s="5">
        <v>20611.61165048544</v>
      </c>
      <c r="N368" s="5">
        <v>23538.93386370895</v>
      </c>
      <c r="O368" s="5">
        <v>21080.372000857798</v>
      </c>
      <c r="P368">
        <v>20389.775687646681</v>
      </c>
      <c r="Q368" s="5">
        <v>18600.000000000011</v>
      </c>
      <c r="R368" s="5">
        <v>23789.615234375</v>
      </c>
      <c r="S368" s="5">
        <v>20566.1796875</v>
      </c>
      <c r="T368" s="5">
        <v>20433.884865518863</v>
      </c>
      <c r="U368" s="5">
        <v>21618.984887161274</v>
      </c>
      <c r="V368" s="5">
        <v>18584.606149086678</v>
      </c>
      <c r="W368" s="5">
        <v>17293.100520638221</v>
      </c>
      <c r="X368" s="5">
        <v>20506.45080537922</v>
      </c>
      <c r="Y368" s="5">
        <v>16935.25158959191</v>
      </c>
    </row>
    <row r="369" spans="1:25">
      <c r="A369">
        <v>165</v>
      </c>
      <c r="B369">
        <v>3</v>
      </c>
      <c r="C369">
        <v>338</v>
      </c>
      <c r="D369">
        <v>49.777395755965507</v>
      </c>
      <c r="E369">
        <v>3.0303030303030298</v>
      </c>
      <c r="F369">
        <v>2714.6</v>
      </c>
      <c r="G369" s="35">
        <v>2567.6</v>
      </c>
      <c r="H369" s="5">
        <v>2301.0429366480621</v>
      </c>
      <c r="I369" s="5">
        <v>2301.042903674133</v>
      </c>
      <c r="J369" s="5">
        <v>2301.0684065042369</v>
      </c>
      <c r="K369" s="5">
        <v>2391.207692307692</v>
      </c>
      <c r="L369" s="5">
        <v>2458.3569444091008</v>
      </c>
      <c r="M369" s="5">
        <v>2552.4615339420461</v>
      </c>
      <c r="N369" s="5">
        <v>2374.533132530782</v>
      </c>
      <c r="O369" s="5">
        <v>2475.0944426657552</v>
      </c>
      <c r="P369">
        <v>2217.4607634860372</v>
      </c>
      <c r="Q369" s="5">
        <v>2064.5031504689732</v>
      </c>
      <c r="R369" s="5">
        <v>2566.186767578125</v>
      </c>
      <c r="S369" s="5">
        <v>2148.4560546875</v>
      </c>
      <c r="T369" s="5">
        <v>1882.2165804285069</v>
      </c>
      <c r="U369" s="5">
        <v>1824.3848863410296</v>
      </c>
      <c r="V369" s="5">
        <v>1562.8157792578343</v>
      </c>
      <c r="W369" s="5">
        <v>1544.0498370007097</v>
      </c>
      <c r="X369" s="5">
        <v>1720.1430634144631</v>
      </c>
      <c r="Y369" s="5">
        <v>1441.811031757175</v>
      </c>
    </row>
    <row r="370" spans="1:25">
      <c r="A370">
        <v>76.12</v>
      </c>
      <c r="B370">
        <v>2.5099999999999998</v>
      </c>
      <c r="C370">
        <v>286</v>
      </c>
      <c r="D370">
        <v>145</v>
      </c>
      <c r="E370">
        <v>3.9411455596426692</v>
      </c>
      <c r="F370">
        <v>762</v>
      </c>
      <c r="G370" s="35">
        <v>881.08239181748888</v>
      </c>
      <c r="H370" s="5">
        <v>780.94480820736226</v>
      </c>
      <c r="I370" s="5">
        <v>780.94491471502647</v>
      </c>
      <c r="J370" s="5">
        <v>780.89651875131904</v>
      </c>
      <c r="K370" s="5">
        <v>631.28571428571433</v>
      </c>
      <c r="L370" s="5">
        <v>752.33310705864483</v>
      </c>
      <c r="M370" s="5">
        <v>764.92029328944977</v>
      </c>
      <c r="N370" s="5">
        <v>747.20479399886369</v>
      </c>
      <c r="O370" s="5">
        <v>783.87418614818023</v>
      </c>
      <c r="P370">
        <v>713.58917271270309</v>
      </c>
      <c r="Q370" s="5">
        <v>728.4643508746226</v>
      </c>
      <c r="R370" s="5">
        <v>716.43115234375</v>
      </c>
      <c r="S370" s="5">
        <v>847.9285888671875</v>
      </c>
      <c r="T370" s="5">
        <v>812.07301239222363</v>
      </c>
      <c r="U370" s="5">
        <v>814.75123827682921</v>
      </c>
      <c r="V370" s="5">
        <v>708.37545058714124</v>
      </c>
    </row>
    <row r="371" spans="1:25">
      <c r="A371">
        <v>76</v>
      </c>
      <c r="B371">
        <v>2.2000000000000002</v>
      </c>
      <c r="C371">
        <v>390</v>
      </c>
      <c r="D371">
        <v>57</v>
      </c>
      <c r="E371">
        <v>3.5</v>
      </c>
      <c r="F371">
        <v>470</v>
      </c>
      <c r="G371" s="35">
        <v>472.5</v>
      </c>
      <c r="H371" s="5">
        <v>-424.13296161582502</v>
      </c>
      <c r="I371" s="5">
        <v>-424.13262008238689</v>
      </c>
      <c r="J371" s="5">
        <v>-424.13571489981308</v>
      </c>
      <c r="K371" s="5">
        <v>416.20199182545463</v>
      </c>
      <c r="L371" s="5">
        <v>484.89297191116492</v>
      </c>
      <c r="M371" s="5">
        <v>472.5</v>
      </c>
      <c r="N371" s="5">
        <v>503.45590506134789</v>
      </c>
      <c r="O371" s="5">
        <v>477.89675741926192</v>
      </c>
      <c r="P371">
        <v>458.22716517885948</v>
      </c>
      <c r="Q371" s="5">
        <v>498.98884085824119</v>
      </c>
      <c r="R371" s="5">
        <v>472.59933471679688</v>
      </c>
      <c r="S371" s="5">
        <v>525.4095458984375</v>
      </c>
      <c r="T371" s="5">
        <v>630.72675224699651</v>
      </c>
      <c r="U371" s="5">
        <v>551.76585969620385</v>
      </c>
      <c r="V371" s="5">
        <v>480.74952114039081</v>
      </c>
      <c r="W371" s="5">
        <v>535.59849423419337</v>
      </c>
      <c r="X371" s="5">
        <v>495.21560399607881</v>
      </c>
      <c r="Y371" s="5">
        <v>412.04301906144872</v>
      </c>
    </row>
    <row r="372" spans="1:25">
      <c r="A372">
        <v>121</v>
      </c>
      <c r="B372">
        <v>12</v>
      </c>
      <c r="C372">
        <v>294.1995</v>
      </c>
      <c r="D372">
        <v>27.755761495000002</v>
      </c>
      <c r="E372">
        <v>4.1322314049586772</v>
      </c>
      <c r="F372">
        <v>2422.2425570738078</v>
      </c>
      <c r="G372" s="35">
        <v>2500.695757302919</v>
      </c>
      <c r="H372" s="5">
        <v>2986.6588033135108</v>
      </c>
      <c r="I372" s="5">
        <v>2986.6594098953342</v>
      </c>
      <c r="J372" s="5">
        <v>2986.6446414219608</v>
      </c>
      <c r="K372" s="5">
        <v>2370.5632792658939</v>
      </c>
      <c r="L372" s="5">
        <v>2505.2230814521909</v>
      </c>
      <c r="M372" s="5">
        <v>2500.6957573029208</v>
      </c>
      <c r="N372" s="5">
        <v>2604.8611956526861</v>
      </c>
      <c r="O372" s="5">
        <v>2457.7665386256672</v>
      </c>
      <c r="P372">
        <v>2470.575875951743</v>
      </c>
      <c r="Q372" s="5">
        <v>2419.8739552360262</v>
      </c>
      <c r="R372" s="5">
        <v>2499.17431640625</v>
      </c>
      <c r="S372" s="5">
        <v>2309.0205078125</v>
      </c>
      <c r="T372" s="5">
        <v>2390.0322632659982</v>
      </c>
      <c r="U372" s="5">
        <v>2163.5691896134513</v>
      </c>
      <c r="V372" s="5">
        <v>1945.6347823764206</v>
      </c>
      <c r="W372" s="5">
        <v>1691.9390108116008</v>
      </c>
      <c r="Y372" s="5">
        <v>1388.184292416767</v>
      </c>
    </row>
    <row r="373" spans="1:25">
      <c r="A373">
        <v>108</v>
      </c>
      <c r="B373">
        <v>4.5</v>
      </c>
      <c r="C373">
        <v>344</v>
      </c>
      <c r="D373">
        <v>33.5</v>
      </c>
      <c r="E373">
        <v>5.0740740740740744</v>
      </c>
      <c r="F373">
        <v>917</v>
      </c>
      <c r="G373" s="35">
        <v>977.68548456143481</v>
      </c>
      <c r="H373" s="5">
        <v>761.49793000175896</v>
      </c>
      <c r="I373" s="5">
        <v>761.4981227808405</v>
      </c>
      <c r="J373" s="5">
        <v>761.48421214667746</v>
      </c>
      <c r="K373" s="5">
        <v>1070.314225922582</v>
      </c>
      <c r="L373" s="5">
        <v>1059.899067130601</v>
      </c>
      <c r="M373" s="5">
        <v>1005.035902579951</v>
      </c>
      <c r="N373" s="5">
        <v>853.49367808665181</v>
      </c>
      <c r="O373" s="5">
        <v>845.95109538159261</v>
      </c>
      <c r="P373">
        <v>844.58239190035317</v>
      </c>
      <c r="Q373" s="5">
        <v>1028.1324616704489</v>
      </c>
      <c r="R373" s="5">
        <v>876.64996337890625</v>
      </c>
      <c r="S373" s="5">
        <v>929.988525390625</v>
      </c>
      <c r="T373" s="5">
        <v>1042.2605784265058</v>
      </c>
      <c r="U373" s="5">
        <v>1073.2828285538722</v>
      </c>
      <c r="V373" s="5">
        <v>956.61298863030026</v>
      </c>
      <c r="W373" s="5">
        <v>955.04236625122803</v>
      </c>
      <c r="X373" s="5">
        <v>869.11943818207192</v>
      </c>
      <c r="Y373" s="5">
        <v>734.41207227577547</v>
      </c>
    </row>
    <row r="374" spans="1:25">
      <c r="A374">
        <v>169.3</v>
      </c>
      <c r="B374">
        <v>2.62</v>
      </c>
      <c r="C374">
        <v>338.1</v>
      </c>
      <c r="D374">
        <v>34.1</v>
      </c>
      <c r="E374">
        <v>1.80153573538098</v>
      </c>
      <c r="F374">
        <v>1330</v>
      </c>
      <c r="G374" s="35">
        <v>1272.6184448211729</v>
      </c>
      <c r="H374" s="5">
        <v>2021.1210762249959</v>
      </c>
      <c r="I374" s="5">
        <v>2021.1211854184321</v>
      </c>
      <c r="J374" s="5">
        <v>2021.1858064285341</v>
      </c>
      <c r="K374" s="5">
        <v>1437.82</v>
      </c>
      <c r="L374" s="5">
        <v>1378.5078081806789</v>
      </c>
      <c r="M374" s="5">
        <v>1278.58334869903</v>
      </c>
      <c r="N374" s="5">
        <v>1420.9226237315031</v>
      </c>
      <c r="O374" s="5">
        <v>1310.7279488630491</v>
      </c>
      <c r="P374">
        <v>1282.906748535084</v>
      </c>
      <c r="Q374" s="5">
        <v>1485.7549914998899</v>
      </c>
      <c r="R374" s="5">
        <v>1243.604248046875</v>
      </c>
      <c r="S374" s="5">
        <v>1227.8275146484375</v>
      </c>
      <c r="T374" s="5">
        <v>1389.4790976007764</v>
      </c>
      <c r="U374" s="5">
        <v>1472.2988408051076</v>
      </c>
      <c r="V374" s="5">
        <v>1270.9694892091138</v>
      </c>
      <c r="W374" s="5">
        <v>1230.9241465345715</v>
      </c>
      <c r="X374" s="5">
        <v>1472.389963450662</v>
      </c>
      <c r="Y374" s="5">
        <v>1145.3584513232699</v>
      </c>
    </row>
    <row r="375" spans="1:25">
      <c r="A375">
        <v>216.4</v>
      </c>
      <c r="B375">
        <v>6.61</v>
      </c>
      <c r="C375">
        <v>452</v>
      </c>
      <c r="D375">
        <v>46.8</v>
      </c>
      <c r="E375">
        <v>2.9990757855822552</v>
      </c>
      <c r="F375">
        <v>4214</v>
      </c>
      <c r="G375" s="35">
        <v>3836.3312291503771</v>
      </c>
      <c r="H375" s="5">
        <v>5273.8299234800652</v>
      </c>
      <c r="I375" s="5">
        <v>5273.8296820520354</v>
      </c>
      <c r="J375" s="5">
        <v>5273.7971203663164</v>
      </c>
      <c r="K375" s="5">
        <v>4307.8068658047532</v>
      </c>
      <c r="L375" s="5">
        <v>3812.1260811023121</v>
      </c>
      <c r="M375" s="5">
        <v>4148.9232485203074</v>
      </c>
      <c r="N375" s="5">
        <v>4437.5525182442934</v>
      </c>
      <c r="O375" s="5">
        <v>4325.4082257771242</v>
      </c>
      <c r="P375">
        <v>4442.4796291608754</v>
      </c>
      <c r="Q375" s="5">
        <v>3833.2160975244051</v>
      </c>
      <c r="R375" s="5">
        <v>4110.80029296875</v>
      </c>
      <c r="S375" s="5">
        <v>3391.855712890625</v>
      </c>
      <c r="T375" s="5">
        <v>4346.1432849038247</v>
      </c>
      <c r="U375" s="5">
        <v>4707.3832820600037</v>
      </c>
      <c r="V375" s="5">
        <v>4154.5556328704906</v>
      </c>
      <c r="W375" s="5">
        <v>4217.5977641700865</v>
      </c>
      <c r="X375" s="5">
        <v>4263.0115753509972</v>
      </c>
      <c r="Y375" s="5">
        <v>3380.947490777311</v>
      </c>
    </row>
    <row r="376" spans="1:25">
      <c r="A376">
        <v>96</v>
      </c>
      <c r="B376">
        <v>5</v>
      </c>
      <c r="C376">
        <v>410.89863500000001</v>
      </c>
      <c r="D376">
        <v>38.255741649999997</v>
      </c>
      <c r="E376">
        <v>4.166666666666667</v>
      </c>
      <c r="F376">
        <v>1073.8281781359599</v>
      </c>
      <c r="G376" s="35">
        <v>1176.7980034366681</v>
      </c>
      <c r="H376" s="5">
        <v>777.53509970361347</v>
      </c>
      <c r="I376" s="5">
        <v>777.53542194149122</v>
      </c>
      <c r="J376" s="5">
        <v>777.52823455249904</v>
      </c>
      <c r="K376" s="5">
        <v>1171.475943171582</v>
      </c>
      <c r="L376" s="5">
        <v>1154.9574200510931</v>
      </c>
      <c r="M376" s="5">
        <v>1174.6668513661721</v>
      </c>
      <c r="N376" s="5">
        <v>1160.8717254250259</v>
      </c>
      <c r="O376" s="5">
        <v>1133.8482804034029</v>
      </c>
      <c r="P376">
        <v>1146.3779540931439</v>
      </c>
      <c r="Q376" s="5">
        <v>1057.3300447806471</v>
      </c>
      <c r="R376" s="5">
        <v>1167.963500976562</v>
      </c>
      <c r="S376" s="5">
        <v>1302.212646484375</v>
      </c>
      <c r="T376" s="5">
        <v>1159.4044572731516</v>
      </c>
      <c r="U376" s="5">
        <v>1173.7249340525675</v>
      </c>
      <c r="V376" s="5">
        <v>1051.7459257754322</v>
      </c>
      <c r="W376" s="5">
        <v>1013.6562992831724</v>
      </c>
      <c r="X376" s="5">
        <v>962.23973986070666</v>
      </c>
      <c r="Y376" s="5">
        <v>786.75952457634367</v>
      </c>
    </row>
    <row r="377" spans="1:25">
      <c r="A377">
        <v>166</v>
      </c>
      <c r="B377">
        <v>5</v>
      </c>
      <c r="C377">
        <v>274.58620000000002</v>
      </c>
      <c r="D377">
        <v>28.813899030000002</v>
      </c>
      <c r="E377">
        <v>3.975903614457831</v>
      </c>
      <c r="F377">
        <v>1863.2635054413911</v>
      </c>
      <c r="G377" s="35">
        <v>1985.846630799377</v>
      </c>
      <c r="H377" s="5">
        <v>2409.3524518821519</v>
      </c>
      <c r="I377" s="5">
        <v>2409.3524921530488</v>
      </c>
      <c r="J377" s="5">
        <v>2409.365541949805</v>
      </c>
      <c r="K377" s="5">
        <v>1916.598502577501</v>
      </c>
      <c r="L377" s="5">
        <v>1964.988614154463</v>
      </c>
      <c r="M377" s="5">
        <v>1974.023340550315</v>
      </c>
      <c r="N377" s="5">
        <v>1924.736421006781</v>
      </c>
      <c r="O377" s="5">
        <v>1913.664778861182</v>
      </c>
      <c r="P377">
        <v>1894.568181920725</v>
      </c>
      <c r="Q377" s="5">
        <v>1804.5998271791011</v>
      </c>
      <c r="R377" s="5">
        <v>1972.002563476562</v>
      </c>
      <c r="S377" s="5">
        <v>1913.0780029296875</v>
      </c>
      <c r="T377" s="5">
        <v>1804.7347691137124</v>
      </c>
      <c r="U377" s="5">
        <v>1675.6992109586636</v>
      </c>
      <c r="V377" s="5">
        <v>1477.6876647227541</v>
      </c>
      <c r="W377" s="5">
        <v>1523.1379338125168</v>
      </c>
      <c r="X377" s="5">
        <v>1501.418336556176</v>
      </c>
      <c r="Y377" s="5">
        <v>1205.386929415351</v>
      </c>
    </row>
    <row r="378" spans="1:25">
      <c r="A378">
        <v>114.3</v>
      </c>
      <c r="B378">
        <v>2.56</v>
      </c>
      <c r="C378">
        <v>329</v>
      </c>
      <c r="D378">
        <v>37.3623262668659</v>
      </c>
      <c r="E378">
        <v>3.9895013123359582</v>
      </c>
      <c r="F378">
        <v>926</v>
      </c>
      <c r="G378" s="35">
        <v>951</v>
      </c>
      <c r="H378" s="5">
        <v>385.26006280951759</v>
      </c>
      <c r="I378" s="5">
        <v>385.26024135632161</v>
      </c>
      <c r="J378" s="5">
        <v>385.28120887661203</v>
      </c>
      <c r="K378" s="5">
        <v>769.4545454545455</v>
      </c>
      <c r="L378" s="5">
        <v>862.82553371387905</v>
      </c>
      <c r="M378" s="5">
        <v>951.55365948624581</v>
      </c>
      <c r="N378" s="5">
        <v>856.67890941242558</v>
      </c>
      <c r="O378" s="5">
        <v>907.7744789074311</v>
      </c>
      <c r="P378">
        <v>852.02324430659837</v>
      </c>
      <c r="Q378" s="5">
        <v>836.013524956212</v>
      </c>
      <c r="R378" s="5">
        <v>934.35784912109375</v>
      </c>
      <c r="S378" s="5">
        <v>890.8851318359375</v>
      </c>
      <c r="T378" s="5">
        <v>877.9190452174247</v>
      </c>
      <c r="U378" s="5">
        <v>828.76329706379397</v>
      </c>
      <c r="V378" s="5">
        <v>721.9200088060669</v>
      </c>
      <c r="W378" s="5">
        <v>785.81941778709393</v>
      </c>
      <c r="X378" s="5">
        <v>743.59095960477259</v>
      </c>
      <c r="Y378" s="5">
        <v>619.80589774391797</v>
      </c>
    </row>
    <row r="379" spans="1:25">
      <c r="A379">
        <v>350</v>
      </c>
      <c r="B379">
        <v>3.2</v>
      </c>
      <c r="C379">
        <v>265</v>
      </c>
      <c r="D379">
        <v>24.638000000000002</v>
      </c>
      <c r="E379">
        <v>4.194285714285714</v>
      </c>
      <c r="F379">
        <v>3000</v>
      </c>
      <c r="G379" s="35">
        <v>2883.734238853739</v>
      </c>
      <c r="H379" s="5">
        <v>7687.9848960036597</v>
      </c>
      <c r="I379" s="5">
        <v>7687.9837769161732</v>
      </c>
      <c r="J379" s="5">
        <v>7687.9714694444747</v>
      </c>
      <c r="K379" s="5">
        <v>6161.7605961421996</v>
      </c>
      <c r="L379" s="5">
        <v>4473.561060857307</v>
      </c>
      <c r="M379" s="5">
        <v>3554.8131067961172</v>
      </c>
      <c r="N379" s="5">
        <v>2321.1950778865312</v>
      </c>
      <c r="O379" s="5">
        <v>2584.1006815511259</v>
      </c>
      <c r="P379">
        <v>3323.3005489626671</v>
      </c>
      <c r="Q379" s="5">
        <v>3679.9999999999991</v>
      </c>
      <c r="R379" s="5">
        <v>3377.607177734375</v>
      </c>
      <c r="S379" s="5">
        <v>2777.492919921875</v>
      </c>
      <c r="T379" s="5">
        <v>3181.5966183587389</v>
      </c>
      <c r="U379" s="5">
        <v>3781.2726005784039</v>
      </c>
      <c r="V379" s="5">
        <v>3211.7632091529222</v>
      </c>
      <c r="W379" s="5">
        <v>3019.5910003859235</v>
      </c>
      <c r="Y379" s="5">
        <v>3049.4554655571319</v>
      </c>
    </row>
    <row r="380" spans="1:25">
      <c r="A380">
        <v>114.8</v>
      </c>
      <c r="B380">
        <v>3.9</v>
      </c>
      <c r="C380">
        <v>357.7</v>
      </c>
      <c r="D380">
        <v>42.7</v>
      </c>
      <c r="E380">
        <v>2.9181184668989548</v>
      </c>
      <c r="F380">
        <v>1041</v>
      </c>
      <c r="G380" s="35">
        <v>1048.5773420012249</v>
      </c>
      <c r="H380" s="5">
        <v>874.31531366866261</v>
      </c>
      <c r="I380" s="5">
        <v>874.31564903952471</v>
      </c>
      <c r="J380" s="5">
        <v>874.34005302491551</v>
      </c>
      <c r="K380" s="5">
        <v>1122.75</v>
      </c>
      <c r="L380" s="5">
        <v>1090.8349296414599</v>
      </c>
      <c r="M380" s="5">
        <v>1046.3713808646401</v>
      </c>
      <c r="N380" s="5">
        <v>1126.876102018314</v>
      </c>
      <c r="O380" s="5">
        <v>1034.1207806584671</v>
      </c>
      <c r="P380">
        <v>1030.2779515555969</v>
      </c>
      <c r="Q380" s="5">
        <v>1107.6465454393781</v>
      </c>
      <c r="R380" s="5">
        <v>1061.510986328125</v>
      </c>
      <c r="S380" s="5">
        <v>1188.23876953125</v>
      </c>
      <c r="T380" s="5">
        <v>1229.1838584528386</v>
      </c>
      <c r="U380" s="5">
        <v>1171.3314318007706</v>
      </c>
      <c r="V380" s="5">
        <v>1032.5981838194334</v>
      </c>
      <c r="W380" s="5">
        <v>1090.4842521812088</v>
      </c>
      <c r="X380" s="5">
        <v>1078.7752973097799</v>
      </c>
      <c r="Y380" s="5">
        <v>844.92551555199577</v>
      </c>
    </row>
    <row r="381" spans="1:25">
      <c r="A381">
        <v>108</v>
      </c>
      <c r="B381">
        <v>4</v>
      </c>
      <c r="C381">
        <v>338.9</v>
      </c>
      <c r="D381">
        <v>18.24227097707757</v>
      </c>
      <c r="E381">
        <v>3</v>
      </c>
      <c r="F381">
        <v>1058</v>
      </c>
      <c r="G381" s="35">
        <v>1033.3766902338209</v>
      </c>
      <c r="H381" s="5">
        <v>190.42036892167241</v>
      </c>
      <c r="I381" s="5">
        <v>190.4208745811784</v>
      </c>
      <c r="J381" s="5">
        <v>190.48270537881669</v>
      </c>
      <c r="K381" s="5">
        <v>876.26080817667525</v>
      </c>
      <c r="L381" s="5">
        <v>980.22582044158435</v>
      </c>
      <c r="M381" s="5">
        <v>1032.9940241292211</v>
      </c>
      <c r="N381" s="5">
        <v>893.21994649996896</v>
      </c>
      <c r="O381" s="5">
        <v>965.99028625850144</v>
      </c>
      <c r="P381">
        <v>888.47515179704396</v>
      </c>
      <c r="Q381" s="5">
        <v>932.77676362676516</v>
      </c>
      <c r="R381" s="5">
        <v>992.63970947265625</v>
      </c>
      <c r="S381" s="5">
        <v>756.0433349609375</v>
      </c>
      <c r="T381" s="5">
        <v>929.60804269168182</v>
      </c>
      <c r="U381" s="5">
        <v>860.78748205919442</v>
      </c>
      <c r="V381" s="5">
        <v>775.35878686341596</v>
      </c>
      <c r="W381" s="5">
        <v>707.83683080308924</v>
      </c>
    </row>
    <row r="382" spans="1:25">
      <c r="A382">
        <v>190</v>
      </c>
      <c r="B382">
        <v>0.86</v>
      </c>
      <c r="C382">
        <v>210.7</v>
      </c>
      <c r="D382">
        <v>74.7</v>
      </c>
      <c r="E382">
        <v>3.492105263157895</v>
      </c>
      <c r="F382">
        <v>2451</v>
      </c>
      <c r="G382" s="35">
        <v>2309.072225480742</v>
      </c>
      <c r="H382" s="5">
        <v>2509.833087584132</v>
      </c>
      <c r="I382" s="5">
        <v>2509.8327720311399</v>
      </c>
      <c r="J382" s="5">
        <v>2509.8833208961501</v>
      </c>
      <c r="K382" s="5">
        <v>2959.6153846153852</v>
      </c>
      <c r="L382" s="5">
        <v>2524.3016898713531</v>
      </c>
      <c r="M382" s="5">
        <v>2484.2979638177849</v>
      </c>
      <c r="N382" s="5">
        <v>2483.5767767092798</v>
      </c>
      <c r="O382" s="5">
        <v>2651.7632010708921</v>
      </c>
      <c r="P382">
        <v>2573.6919701496072</v>
      </c>
      <c r="Q382" s="5">
        <v>2601.9999999999991</v>
      </c>
      <c r="R382" s="5">
        <v>2610.75927734375</v>
      </c>
      <c r="S382" s="5">
        <v>2591.956298828125</v>
      </c>
      <c r="T382" s="5">
        <v>2357.3033756784125</v>
      </c>
      <c r="U382" s="5">
        <v>2254.2130302522141</v>
      </c>
      <c r="V382" s="5">
        <v>1825.2365529407289</v>
      </c>
    </row>
    <row r="383" spans="1:25">
      <c r="A383">
        <v>135</v>
      </c>
      <c r="B383">
        <v>1.46</v>
      </c>
      <c r="C383">
        <v>222.7</v>
      </c>
      <c r="D383">
        <v>14.624000000000001</v>
      </c>
      <c r="E383">
        <v>3.088888888888889</v>
      </c>
      <c r="F383">
        <v>594</v>
      </c>
      <c r="G383" s="35">
        <v>937.18723580355334</v>
      </c>
      <c r="H383" s="5">
        <v>-26.414169650354779</v>
      </c>
      <c r="I383" s="5">
        <v>-26.413898851111298</v>
      </c>
      <c r="J383" s="5">
        <v>-26.322617747670851</v>
      </c>
      <c r="K383" s="5">
        <v>705.81111111111113</v>
      </c>
      <c r="L383" s="5">
        <v>753.61986538461701</v>
      </c>
      <c r="M383" s="5">
        <v>691.17864077669901</v>
      </c>
      <c r="N383" s="5">
        <v>599.27421600390073</v>
      </c>
      <c r="O383" s="5">
        <v>656.38193098359977</v>
      </c>
      <c r="P383">
        <v>621.22711574584537</v>
      </c>
      <c r="Q383" s="5">
        <v>677.51974268051322</v>
      </c>
      <c r="R383" s="5">
        <v>651.49273681640625</v>
      </c>
      <c r="S383" s="5">
        <v>697.21435546875</v>
      </c>
      <c r="T383" s="5">
        <v>608.49557977716506</v>
      </c>
      <c r="U383" s="5">
        <v>421.34698757851322</v>
      </c>
      <c r="V383" s="5">
        <v>364.60092718842145</v>
      </c>
      <c r="W383" s="5">
        <v>354.98126861607841</v>
      </c>
    </row>
    <row r="384" spans="1:25">
      <c r="A384">
        <v>108</v>
      </c>
      <c r="B384">
        <v>4</v>
      </c>
      <c r="C384">
        <v>339.11395700000003</v>
      </c>
      <c r="D384">
        <v>28.244132664999999</v>
      </c>
      <c r="E384">
        <v>6</v>
      </c>
      <c r="F384">
        <v>825.71993241139546</v>
      </c>
      <c r="G384" s="35">
        <v>824.39801864012009</v>
      </c>
      <c r="H384" s="5">
        <v>585.61622367852851</v>
      </c>
      <c r="I384" s="5">
        <v>585.61629434551969</v>
      </c>
      <c r="J384" s="5">
        <v>585.57708157561819</v>
      </c>
      <c r="K384" s="5">
        <v>1011.725186622548</v>
      </c>
      <c r="L384" s="5">
        <v>862.22080950640998</v>
      </c>
      <c r="M384" s="5">
        <v>829.36740925416575</v>
      </c>
      <c r="N384" s="5">
        <v>867.83394660293334</v>
      </c>
      <c r="O384" s="5">
        <v>887.97402899001634</v>
      </c>
      <c r="P384">
        <v>881.48119646229588</v>
      </c>
      <c r="Q384" s="5">
        <v>946.49266979777508</v>
      </c>
      <c r="R384" s="5">
        <v>892.68505859375</v>
      </c>
      <c r="S384" s="5">
        <v>717.140380859375</v>
      </c>
      <c r="T384" s="5">
        <v>875.80770735013414</v>
      </c>
      <c r="U384" s="5">
        <v>939.79490599677615</v>
      </c>
      <c r="V384" s="5">
        <v>838.61948031894553</v>
      </c>
      <c r="W384" s="5">
        <v>826.94894198056795</v>
      </c>
      <c r="X384" s="5">
        <v>728.88873780423921</v>
      </c>
      <c r="Y384" s="5">
        <v>637.63487362796195</v>
      </c>
    </row>
    <row r="385" spans="1:25">
      <c r="A385">
        <v>90</v>
      </c>
      <c r="B385">
        <v>1</v>
      </c>
      <c r="C385">
        <v>328.95</v>
      </c>
      <c r="D385">
        <v>34.826048751810887</v>
      </c>
      <c r="E385">
        <v>3.333333333333333</v>
      </c>
      <c r="F385">
        <v>348.8</v>
      </c>
      <c r="G385" s="35">
        <v>344.2</v>
      </c>
      <c r="H385" s="5">
        <v>-875.99932475488049</v>
      </c>
      <c r="I385" s="5">
        <v>-875.99899338540672</v>
      </c>
      <c r="J385" s="5">
        <v>-875.95899070178075</v>
      </c>
      <c r="K385" s="5">
        <v>416.20199182545463</v>
      </c>
      <c r="L385" s="5">
        <v>353.4200955609312</v>
      </c>
      <c r="M385" s="5">
        <v>344.19999999999868</v>
      </c>
      <c r="N385" s="5">
        <v>355.93004523952669</v>
      </c>
      <c r="O385" s="5">
        <v>343.69766064307493</v>
      </c>
      <c r="P385">
        <v>349.3771758643669</v>
      </c>
      <c r="Q385" s="5">
        <v>360.50000000000011</v>
      </c>
      <c r="R385" s="5">
        <v>344.78408813476563</v>
      </c>
      <c r="S385" s="5">
        <v>323.28158569335938</v>
      </c>
      <c r="T385" s="5">
        <v>469.82837706528153</v>
      </c>
      <c r="U385" s="5">
        <v>360.8158161860901</v>
      </c>
      <c r="V385" s="5">
        <v>307.2051097662042</v>
      </c>
      <c r="W385" s="5">
        <v>322.16206587978792</v>
      </c>
      <c r="Y385" s="5">
        <v>290.02861644816301</v>
      </c>
    </row>
    <row r="386" spans="1:25">
      <c r="A386">
        <v>190</v>
      </c>
      <c r="B386">
        <v>1.1299999999999999</v>
      </c>
      <c r="C386">
        <v>185.7</v>
      </c>
      <c r="D386">
        <v>108</v>
      </c>
      <c r="E386">
        <v>3.4736842105263159</v>
      </c>
      <c r="F386">
        <v>3058</v>
      </c>
      <c r="G386" s="35">
        <v>3008.530376659623</v>
      </c>
      <c r="H386" s="5">
        <v>2949.6937529694478</v>
      </c>
      <c r="I386" s="5">
        <v>2949.6933342744719</v>
      </c>
      <c r="J386" s="5">
        <v>2949.6955887556151</v>
      </c>
      <c r="K386" s="5">
        <v>3025.2857142857142</v>
      </c>
      <c r="L386" s="5">
        <v>3102.7384615384622</v>
      </c>
      <c r="M386" s="5">
        <v>3066.7864077669901</v>
      </c>
      <c r="N386" s="5">
        <v>3080.4893927875792</v>
      </c>
      <c r="O386" s="5">
        <v>3456.151644546595</v>
      </c>
      <c r="P386">
        <v>3542.7475242655569</v>
      </c>
      <c r="Q386" s="5">
        <v>2934.0121537238069</v>
      </c>
      <c r="R386" s="5">
        <v>3360.27978515625</v>
      </c>
      <c r="S386" s="5">
        <v>2718.62646484375</v>
      </c>
      <c r="T386" s="5">
        <v>2933.9695476201791</v>
      </c>
      <c r="U386" s="5">
        <v>3168.9915811862943</v>
      </c>
      <c r="V386" s="5">
        <v>2578.3722202407707</v>
      </c>
    </row>
    <row r="387" spans="1:25">
      <c r="A387">
        <v>320</v>
      </c>
      <c r="B387">
        <v>7</v>
      </c>
      <c r="C387">
        <v>249.9</v>
      </c>
      <c r="D387">
        <v>46.57</v>
      </c>
      <c r="E387">
        <v>1.625</v>
      </c>
      <c r="F387">
        <v>6380</v>
      </c>
      <c r="G387" s="35">
        <v>5890</v>
      </c>
      <c r="H387" s="5">
        <v>7801.3118972938246</v>
      </c>
      <c r="I387" s="5">
        <v>7801.3113566229258</v>
      </c>
      <c r="J387" s="5">
        <v>7801.3365071640828</v>
      </c>
      <c r="K387" s="5">
        <v>6161.7605961421996</v>
      </c>
      <c r="L387" s="5">
        <v>6097.4168128795782</v>
      </c>
      <c r="M387" s="5">
        <v>5890</v>
      </c>
      <c r="N387" s="5">
        <v>6680.2765145017138</v>
      </c>
      <c r="O387" s="5">
        <v>6003.6913849000193</v>
      </c>
      <c r="P387">
        <v>6115.7762864646556</v>
      </c>
      <c r="Q387" s="5">
        <v>6750.5075922419937</v>
      </c>
      <c r="R387" s="5">
        <v>5907.29736328125</v>
      </c>
      <c r="S387" s="5">
        <v>5902.41845703125</v>
      </c>
      <c r="T387" s="5">
        <v>6756.2189557966658</v>
      </c>
      <c r="U387" s="5">
        <v>6211.4224968130529</v>
      </c>
      <c r="V387" s="5">
        <v>5312.067074998703</v>
      </c>
      <c r="W387" s="5">
        <v>5703.5914048183577</v>
      </c>
      <c r="X387" s="5">
        <v>6238.0193569524663</v>
      </c>
      <c r="Y387" s="5">
        <v>4963.0635461298107</v>
      </c>
    </row>
    <row r="388" spans="1:25">
      <c r="A388">
        <v>108</v>
      </c>
      <c r="B388">
        <v>4.5</v>
      </c>
      <c r="C388">
        <v>409.64</v>
      </c>
      <c r="D388">
        <v>28.6</v>
      </c>
      <c r="E388">
        <v>3.518518518518519</v>
      </c>
      <c r="F388">
        <v>1166.2</v>
      </c>
      <c r="G388" s="35">
        <v>1210.3</v>
      </c>
      <c r="H388" s="5">
        <v>768.5056117984177</v>
      </c>
      <c r="I388" s="5">
        <v>768.50595056505085</v>
      </c>
      <c r="J388" s="5">
        <v>768.51854640322927</v>
      </c>
      <c r="K388" s="5">
        <v>1325.606839272727</v>
      </c>
      <c r="L388" s="5">
        <v>1356.9388880939589</v>
      </c>
      <c r="M388" s="5">
        <v>1228.7313946678951</v>
      </c>
      <c r="N388" s="5">
        <v>1279.142643518129</v>
      </c>
      <c r="O388" s="5">
        <v>1255.019068277556</v>
      </c>
      <c r="P388">
        <v>1317.920408672436</v>
      </c>
      <c r="Q388" s="5">
        <v>1434.3464740305139</v>
      </c>
      <c r="R388" s="5">
        <v>1211.86474609375</v>
      </c>
      <c r="S388" s="5">
        <v>1232.765869140625</v>
      </c>
      <c r="T388" s="5">
        <v>1199.8559264497715</v>
      </c>
      <c r="U388" s="5">
        <v>1191.1558234828958</v>
      </c>
      <c r="V388" s="5">
        <v>1069.6086191103561</v>
      </c>
      <c r="W388" s="5">
        <v>1008.4729192276545</v>
      </c>
      <c r="X388" s="5">
        <v>1030.462193659057</v>
      </c>
      <c r="Y388" s="5">
        <v>800.55148246901706</v>
      </c>
    </row>
    <row r="389" spans="1:25">
      <c r="A389">
        <v>63.5</v>
      </c>
      <c r="B389">
        <v>2</v>
      </c>
      <c r="C389">
        <v>250</v>
      </c>
      <c r="D389">
        <v>48.56</v>
      </c>
      <c r="E389">
        <v>5.5118110236220472</v>
      </c>
      <c r="F389">
        <v>227.53</v>
      </c>
      <c r="G389" s="35">
        <v>204.42662959529861</v>
      </c>
      <c r="H389" s="5">
        <v>-1322.3905450834941</v>
      </c>
      <c r="I389" s="5">
        <v>-1322.3902617409551</v>
      </c>
      <c r="J389" s="5">
        <v>-1322.388119584273</v>
      </c>
      <c r="K389" s="5">
        <v>253.31</v>
      </c>
      <c r="L389" s="5">
        <v>211.89662820512871</v>
      </c>
      <c r="M389" s="5">
        <v>214.04967637540369</v>
      </c>
      <c r="N389" s="5">
        <v>228.00698733315309</v>
      </c>
      <c r="O389" s="5">
        <v>233.2011500264114</v>
      </c>
      <c r="P389">
        <v>235.8014508246803</v>
      </c>
      <c r="Q389" s="5">
        <v>204.38728463156869</v>
      </c>
      <c r="R389" s="5">
        <v>214.31867980957031</v>
      </c>
      <c r="S389" s="5">
        <v>294.9625244140625</v>
      </c>
      <c r="T389" s="5">
        <v>321.00791590472926</v>
      </c>
      <c r="U389" s="5">
        <v>291.51980201589271</v>
      </c>
      <c r="V389" s="5">
        <v>252.26098494710419</v>
      </c>
      <c r="W389" s="5">
        <v>285.777193111462</v>
      </c>
      <c r="X389" s="5">
        <v>248.40776418159041</v>
      </c>
      <c r="Y389" s="5">
        <v>219.97368796287591</v>
      </c>
    </row>
    <row r="390" spans="1:25">
      <c r="A390">
        <v>301</v>
      </c>
      <c r="B390">
        <v>2.96</v>
      </c>
      <c r="C390">
        <v>279</v>
      </c>
      <c r="D390">
        <v>25.4</v>
      </c>
      <c r="E390">
        <v>3</v>
      </c>
      <c r="F390">
        <v>2382</v>
      </c>
      <c r="G390" s="35">
        <v>3246.4036079053071</v>
      </c>
      <c r="H390" s="5">
        <v>6051.6895175915897</v>
      </c>
      <c r="I390" s="5">
        <v>6051.6888234349917</v>
      </c>
      <c r="J390" s="5">
        <v>6051.729632917446</v>
      </c>
      <c r="K390" s="5">
        <v>3119.375</v>
      </c>
      <c r="L390" s="5">
        <v>3870.3985774658581</v>
      </c>
      <c r="M390" s="5">
        <v>3596.305825242719</v>
      </c>
      <c r="N390" s="5">
        <v>2754.6110444209421</v>
      </c>
      <c r="O390" s="5">
        <v>2893.7786499844201</v>
      </c>
      <c r="P390">
        <v>2811.847872963594</v>
      </c>
      <c r="Q390" s="5">
        <v>3562.8462047791259</v>
      </c>
      <c r="R390" s="5">
        <v>3014.414306640625</v>
      </c>
      <c r="S390" s="5">
        <v>3053.344970703125</v>
      </c>
      <c r="T390" s="5">
        <v>2745.5445177121092</v>
      </c>
      <c r="U390" s="5">
        <v>2989.6795066004488</v>
      </c>
      <c r="V390" s="5">
        <v>2547.9261950824816</v>
      </c>
      <c r="W390" s="5">
        <v>2405.5678606531146</v>
      </c>
      <c r="Y390" s="5">
        <v>2405.2714271773339</v>
      </c>
    </row>
    <row r="391" spans="1:25">
      <c r="A391">
        <v>101.8</v>
      </c>
      <c r="B391">
        <v>3.03</v>
      </c>
      <c r="C391">
        <v>371</v>
      </c>
      <c r="D391">
        <v>23.2</v>
      </c>
      <c r="E391">
        <v>2.9960707269155211</v>
      </c>
      <c r="F391">
        <v>632</v>
      </c>
      <c r="G391" s="35">
        <v>680.5</v>
      </c>
      <c r="H391" s="5">
        <v>-71.032209798953318</v>
      </c>
      <c r="I391" s="5">
        <v>-71.031792453411072</v>
      </c>
      <c r="J391" s="5">
        <v>-70.981532931041784</v>
      </c>
      <c r="K391" s="5">
        <v>676</v>
      </c>
      <c r="L391" s="5">
        <v>679.25629481574231</v>
      </c>
      <c r="M391" s="5">
        <v>680.10958763962844</v>
      </c>
      <c r="N391" s="5">
        <v>714.52963014684508</v>
      </c>
      <c r="O391" s="5">
        <v>677.58273890716964</v>
      </c>
      <c r="P391">
        <v>699.11493108895581</v>
      </c>
      <c r="Q391" s="5">
        <v>730.31638328267593</v>
      </c>
      <c r="R391" s="5">
        <v>679.32427978515625</v>
      </c>
      <c r="S391" s="5">
        <v>758.0191650390625</v>
      </c>
      <c r="T391" s="5">
        <v>794.3888590002997</v>
      </c>
      <c r="U391" s="5">
        <v>732.09405286095375</v>
      </c>
      <c r="V391" s="5">
        <v>654.58453125739311</v>
      </c>
      <c r="W391" s="5">
        <v>628.74640736795357</v>
      </c>
      <c r="Y391" s="5">
        <v>504.14736881738799</v>
      </c>
    </row>
    <row r="392" spans="1:25">
      <c r="A392">
        <v>129</v>
      </c>
      <c r="B392">
        <v>3</v>
      </c>
      <c r="C392">
        <v>306</v>
      </c>
      <c r="D392">
        <v>52.960000000000008</v>
      </c>
      <c r="E392">
        <v>3</v>
      </c>
      <c r="F392">
        <v>1192</v>
      </c>
      <c r="G392" s="35">
        <v>1173.0167339873051</v>
      </c>
      <c r="H392" s="5">
        <v>1121.071816239908</v>
      </c>
      <c r="I392" s="5">
        <v>1121.072003840555</v>
      </c>
      <c r="J392" s="5">
        <v>1121.0980760545101</v>
      </c>
      <c r="K392" s="5">
        <v>1193.8571428571429</v>
      </c>
      <c r="L392" s="5">
        <v>1216.8831075150781</v>
      </c>
      <c r="M392" s="5">
        <v>1199.097919556172</v>
      </c>
      <c r="N392" s="5">
        <v>1233.520922633606</v>
      </c>
      <c r="O392" s="5">
        <v>1237.61741157919</v>
      </c>
      <c r="P392">
        <v>1205.851680644291</v>
      </c>
      <c r="Q392" s="5">
        <v>1247.9398540592731</v>
      </c>
      <c r="R392" s="5">
        <v>1273.991821289062</v>
      </c>
      <c r="S392" s="5">
        <v>1290.973876953125</v>
      </c>
      <c r="T392" s="5">
        <v>1307.6786745430104</v>
      </c>
      <c r="U392" s="5">
        <v>1217.9644328613456</v>
      </c>
      <c r="V392" s="5">
        <v>1046.7035611152439</v>
      </c>
      <c r="W392" s="5">
        <v>1189.4808506067698</v>
      </c>
      <c r="X392" s="5">
        <v>1146.9575817930149</v>
      </c>
      <c r="Y392" s="5">
        <v>953.40353400969514</v>
      </c>
    </row>
    <row r="393" spans="1:25">
      <c r="A393">
        <v>160</v>
      </c>
      <c r="B393">
        <v>6.3</v>
      </c>
      <c r="C393">
        <v>482.5</v>
      </c>
      <c r="D393">
        <v>57.706634203868987</v>
      </c>
      <c r="E393">
        <v>2.9750000000000001</v>
      </c>
      <c r="F393">
        <v>2350</v>
      </c>
      <c r="G393" s="35">
        <v>2476.1512628057262</v>
      </c>
      <c r="H393" s="5">
        <v>3668.4687930523751</v>
      </c>
      <c r="I393" s="5">
        <v>3668.4688019191408</v>
      </c>
      <c r="J393" s="5">
        <v>3668.4373056208142</v>
      </c>
      <c r="K393" s="5">
        <v>2958.2270356259241</v>
      </c>
      <c r="L393" s="5">
        <v>2495.2882361592001</v>
      </c>
      <c r="M393" s="5">
        <v>2404.3932038834951</v>
      </c>
      <c r="N393" s="5">
        <v>2603.5537721252881</v>
      </c>
      <c r="O393" s="5">
        <v>2569.6892587815751</v>
      </c>
      <c r="P393">
        <v>2569.43969821869</v>
      </c>
      <c r="Q393" s="5">
        <v>2735.1583877519852</v>
      </c>
      <c r="R393" s="5">
        <v>2389.40478515625</v>
      </c>
      <c r="S393" s="5">
        <v>2698.051025390625</v>
      </c>
      <c r="T393" s="5">
        <v>3205.81236985538</v>
      </c>
      <c r="U393" s="5">
        <v>3362.5222020933797</v>
      </c>
      <c r="V393" s="5">
        <v>2976.5913604711636</v>
      </c>
      <c r="W393" s="5">
        <v>3043.2174759570539</v>
      </c>
      <c r="Y393" s="5">
        <v>2381.5473658920819</v>
      </c>
    </row>
    <row r="394" spans="1:25">
      <c r="A394">
        <v>300</v>
      </c>
      <c r="B394">
        <v>3</v>
      </c>
      <c r="C394">
        <v>266.89999999999998</v>
      </c>
      <c r="D394">
        <v>24.12</v>
      </c>
      <c r="E394">
        <v>3.333333333333333</v>
      </c>
      <c r="F394">
        <v>3038</v>
      </c>
      <c r="G394" s="35">
        <v>2786.943586930985</v>
      </c>
      <c r="H394" s="5">
        <v>5959.9359447726274</v>
      </c>
      <c r="I394" s="5">
        <v>5959.9352193051291</v>
      </c>
      <c r="J394" s="5">
        <v>5959.9649079129977</v>
      </c>
      <c r="K394" s="5">
        <v>3160.3701908190728</v>
      </c>
      <c r="L394" s="5">
        <v>2760.8781051615638</v>
      </c>
      <c r="M394" s="5">
        <v>2623.0800970873788</v>
      </c>
      <c r="N394" s="5">
        <v>2818.6485196110589</v>
      </c>
      <c r="O394" s="5">
        <v>2536.7684247503789</v>
      </c>
      <c r="P394">
        <v>2490.7048680161088</v>
      </c>
      <c r="Q394" s="5">
        <v>2603.310337899255</v>
      </c>
      <c r="R394" s="5">
        <v>2676.121337890625</v>
      </c>
      <c r="S394" s="5">
        <v>2277.876953125</v>
      </c>
      <c r="T394" s="5">
        <v>2611.4735762328046</v>
      </c>
      <c r="U394" s="5">
        <v>2847.7214103133929</v>
      </c>
      <c r="V394" s="5">
        <v>2429.0507027474637</v>
      </c>
      <c r="W394" s="5">
        <v>2292.0953864997341</v>
      </c>
      <c r="Y394" s="5">
        <v>2282.2786702283888</v>
      </c>
    </row>
    <row r="395" spans="1:25">
      <c r="A395">
        <v>165</v>
      </c>
      <c r="B395">
        <v>2.74</v>
      </c>
      <c r="C395">
        <v>350</v>
      </c>
      <c r="D395">
        <v>48.5</v>
      </c>
      <c r="E395">
        <v>3.0909090909090908</v>
      </c>
      <c r="F395">
        <v>1785</v>
      </c>
      <c r="G395" s="35">
        <v>2672.1333333333332</v>
      </c>
      <c r="H395" s="5">
        <v>2236.3889980721301</v>
      </c>
      <c r="I395" s="5">
        <v>2236.3889346855171</v>
      </c>
      <c r="J395" s="5">
        <v>2236.408590959426</v>
      </c>
      <c r="K395" s="5">
        <v>2218.0461538461541</v>
      </c>
      <c r="L395" s="5">
        <v>2146.675687671348</v>
      </c>
      <c r="M395" s="5">
        <v>2012.663534137434</v>
      </c>
      <c r="N395" s="5">
        <v>2078.3306230096641</v>
      </c>
      <c r="O395" s="5">
        <v>2031.4871828827891</v>
      </c>
      <c r="P395">
        <v>1914.7179949990391</v>
      </c>
      <c r="Q395" s="5">
        <v>2133.7949512763021</v>
      </c>
      <c r="R395" s="5">
        <v>2063.71337890625</v>
      </c>
      <c r="S395" s="5">
        <v>2171.593017578125</v>
      </c>
      <c r="T395" s="5">
        <v>1828.8196662104717</v>
      </c>
      <c r="U395" s="5">
        <v>1761.2531332950741</v>
      </c>
      <c r="V395" s="5">
        <v>1507.032544848646</v>
      </c>
      <c r="W395" s="5">
        <v>1494.6226616284157</v>
      </c>
      <c r="X395" s="5">
        <v>1658.162577928274</v>
      </c>
      <c r="Y395" s="5">
        <v>1395.992956957205</v>
      </c>
    </row>
    <row r="396" spans="1:25">
      <c r="A396">
        <v>166</v>
      </c>
      <c r="B396">
        <v>5</v>
      </c>
      <c r="C396">
        <v>274.58620000000002</v>
      </c>
      <c r="D396">
        <v>28.813899030000002</v>
      </c>
      <c r="E396">
        <v>2.1084337349397591</v>
      </c>
      <c r="F396">
        <v>2039.7832059568909</v>
      </c>
      <c r="G396" s="35">
        <v>1916.3328622763429</v>
      </c>
      <c r="H396" s="5">
        <v>2197.5491561862718</v>
      </c>
      <c r="I396" s="5">
        <v>2197.54943027543</v>
      </c>
      <c r="J396" s="5">
        <v>2197.6154645335532</v>
      </c>
      <c r="K396" s="5">
        <v>2018.4699702356429</v>
      </c>
      <c r="L396" s="5">
        <v>1945.471476652039</v>
      </c>
      <c r="M396" s="5">
        <v>1933.0330970221571</v>
      </c>
      <c r="N396" s="5">
        <v>1933.909544866744</v>
      </c>
      <c r="O396" s="5">
        <v>1989.590034739351</v>
      </c>
      <c r="P396">
        <v>1958.0466185375819</v>
      </c>
      <c r="Q396" s="5">
        <v>1798.6610108708801</v>
      </c>
      <c r="R396" s="5">
        <v>1984.89599609375</v>
      </c>
      <c r="S396" s="5">
        <v>1740.7908935546875</v>
      </c>
      <c r="T396" s="5">
        <v>1883.062711605477</v>
      </c>
      <c r="U396" s="5">
        <v>1675.6992109586636</v>
      </c>
      <c r="V396" s="5">
        <v>1477.6876647227541</v>
      </c>
      <c r="W396" s="5">
        <v>1523.1379338125168</v>
      </c>
      <c r="X396" s="5">
        <v>1646.05543012557</v>
      </c>
      <c r="Y396" s="5">
        <v>1214.167263703994</v>
      </c>
    </row>
    <row r="397" spans="1:25">
      <c r="A397">
        <v>114</v>
      </c>
      <c r="B397">
        <v>3.2</v>
      </c>
      <c r="C397">
        <v>353.6</v>
      </c>
      <c r="D397">
        <v>47.309232737700057</v>
      </c>
      <c r="E397">
        <v>2.9561403508771931</v>
      </c>
      <c r="F397">
        <v>1096</v>
      </c>
      <c r="G397" s="35">
        <v>1109.3179275787679</v>
      </c>
      <c r="H397" s="5">
        <v>760.3020486935618</v>
      </c>
      <c r="I397" s="5">
        <v>760.30232417182469</v>
      </c>
      <c r="J397" s="5">
        <v>760.31915986115814</v>
      </c>
      <c r="K397" s="5">
        <v>1105</v>
      </c>
      <c r="L397" s="5">
        <v>1127.8366845575069</v>
      </c>
      <c r="M397" s="5">
        <v>1090.5914701803049</v>
      </c>
      <c r="N397" s="5">
        <v>1145.232446728169</v>
      </c>
      <c r="O397" s="5">
        <v>1139.628833000161</v>
      </c>
      <c r="P397">
        <v>1135.997299796049</v>
      </c>
      <c r="Q397" s="5">
        <v>1123.727525654429</v>
      </c>
      <c r="R397" s="5">
        <v>1129.077514648438</v>
      </c>
      <c r="S397" s="5">
        <v>993.0628662109375</v>
      </c>
      <c r="T397" s="5">
        <v>1141.0096876137466</v>
      </c>
      <c r="U397" s="5">
        <v>1068.2578967370587</v>
      </c>
      <c r="V397" s="5">
        <v>932.57241179749826</v>
      </c>
      <c r="W397" s="5">
        <v>1023.0201704646657</v>
      </c>
      <c r="X397" s="5">
        <v>991.71844096363589</v>
      </c>
      <c r="Y397" s="5">
        <v>796.46049213686695</v>
      </c>
    </row>
    <row r="398" spans="1:25">
      <c r="A398">
        <v>164.5</v>
      </c>
      <c r="B398">
        <v>2.34</v>
      </c>
      <c r="C398">
        <v>315</v>
      </c>
      <c r="D398">
        <v>37.3623262668659</v>
      </c>
      <c r="E398">
        <v>4.0121580547112474</v>
      </c>
      <c r="F398">
        <v>1698</v>
      </c>
      <c r="G398" s="35">
        <v>1731</v>
      </c>
      <c r="H398" s="5">
        <v>1872.7395500432399</v>
      </c>
      <c r="I398" s="5">
        <v>1872.7394337841131</v>
      </c>
      <c r="J398" s="5">
        <v>1872.7635388421161</v>
      </c>
      <c r="K398" s="5">
        <v>1437.82</v>
      </c>
      <c r="L398" s="5">
        <v>1666.337721468404</v>
      </c>
      <c r="M398" s="5">
        <v>1731.2850039782361</v>
      </c>
      <c r="N398" s="5">
        <v>1535.0813704270679</v>
      </c>
      <c r="O398" s="5">
        <v>1719.34286376561</v>
      </c>
      <c r="P398">
        <v>1669.912351725716</v>
      </c>
      <c r="Q398" s="5">
        <v>1491.250604725074</v>
      </c>
      <c r="R398" s="5">
        <v>1719.740600585938</v>
      </c>
      <c r="S398" s="5">
        <v>1548.719970703125</v>
      </c>
      <c r="T398" s="5">
        <v>1375.6535502928887</v>
      </c>
      <c r="U398" s="5">
        <v>1357.848977756795</v>
      </c>
      <c r="V398" s="5">
        <v>1161.77385075194</v>
      </c>
      <c r="W398" s="5">
        <v>1153.4931782053111</v>
      </c>
      <c r="X398" s="5">
        <v>1247.7700994557681</v>
      </c>
      <c r="Y398" s="5">
        <v>1071.5239606117329</v>
      </c>
    </row>
    <row r="399" spans="1:25">
      <c r="A399">
        <v>133</v>
      </c>
      <c r="B399">
        <v>4.7</v>
      </c>
      <c r="C399">
        <v>352</v>
      </c>
      <c r="D399">
        <v>59.6</v>
      </c>
      <c r="E399">
        <v>3.496240601503759</v>
      </c>
      <c r="F399">
        <v>1854</v>
      </c>
      <c r="G399" s="35">
        <v>1933</v>
      </c>
      <c r="H399" s="5">
        <v>1917.247378128573</v>
      </c>
      <c r="I399" s="5">
        <v>1917.247518651272</v>
      </c>
      <c r="J399" s="5">
        <v>1917.245184164881</v>
      </c>
      <c r="K399" s="5">
        <v>2262.0749999999998</v>
      </c>
      <c r="L399" s="5">
        <v>1916.264547280176</v>
      </c>
      <c r="M399" s="5">
        <v>1933</v>
      </c>
      <c r="N399" s="5">
        <v>1775.894491645276</v>
      </c>
      <c r="O399" s="5">
        <v>1791.310571180979</v>
      </c>
      <c r="P399">
        <v>1845.6158211869749</v>
      </c>
      <c r="Q399" s="5">
        <v>1759.6464444712301</v>
      </c>
      <c r="R399" s="5">
        <v>1940.609497070312</v>
      </c>
      <c r="S399" s="5">
        <v>1946.8529052734375</v>
      </c>
      <c r="T399" s="5">
        <v>1841.5862855658645</v>
      </c>
      <c r="U399" s="5">
        <v>1795.3797579193817</v>
      </c>
      <c r="V399" s="5">
        <v>1567.1553243771968</v>
      </c>
      <c r="W399" s="5">
        <v>1705.7130833406507</v>
      </c>
      <c r="Y399" s="5">
        <v>1331.6611110265501</v>
      </c>
    </row>
    <row r="400" spans="1:25">
      <c r="A400">
        <v>267.39999999999998</v>
      </c>
      <c r="B400">
        <v>7</v>
      </c>
      <c r="C400">
        <v>461</v>
      </c>
      <c r="D400">
        <v>55.9</v>
      </c>
      <c r="E400">
        <v>5.9835452505609581</v>
      </c>
      <c r="F400">
        <v>5180</v>
      </c>
      <c r="G400" s="35">
        <v>5178.3440539250641</v>
      </c>
      <c r="H400" s="5">
        <v>7332.9740807655799</v>
      </c>
      <c r="I400" s="5">
        <v>7332.9731596566562</v>
      </c>
      <c r="J400" s="5">
        <v>7332.8355802472597</v>
      </c>
      <c r="K400" s="5">
        <v>6067.5504585899907</v>
      </c>
      <c r="L400" s="5">
        <v>5337.5386783152544</v>
      </c>
      <c r="M400" s="5">
        <v>5180.8532101299161</v>
      </c>
      <c r="N400" s="5">
        <v>5510.9487144671821</v>
      </c>
      <c r="O400" s="5">
        <v>5178.2082474628078</v>
      </c>
      <c r="P400">
        <v>5252.5966644934306</v>
      </c>
      <c r="Q400" s="5">
        <v>5325.6847087519136</v>
      </c>
      <c r="R400" s="5">
        <v>5224.96826171875</v>
      </c>
      <c r="S400" s="5">
        <v>5244.953125</v>
      </c>
      <c r="T400" s="5">
        <v>5851.5250021247093</v>
      </c>
      <c r="U400" s="5">
        <v>7095.7898106119801</v>
      </c>
      <c r="V400" s="5">
        <v>6200.3545642710424</v>
      </c>
      <c r="W400" s="5">
        <v>6445.4690311922959</v>
      </c>
      <c r="Y400" s="5">
        <v>5118.4653428810216</v>
      </c>
    </row>
    <row r="401" spans="1:25">
      <c r="A401">
        <v>159</v>
      </c>
      <c r="B401">
        <v>8</v>
      </c>
      <c r="C401">
        <v>438</v>
      </c>
      <c r="D401">
        <v>46.831412032875782</v>
      </c>
      <c r="E401">
        <v>3.1446540880503151</v>
      </c>
      <c r="F401">
        <v>3267.4</v>
      </c>
      <c r="G401" s="35">
        <v>3252.05</v>
      </c>
      <c r="H401" s="5">
        <v>3724.0766410604801</v>
      </c>
      <c r="I401" s="5">
        <v>3724.076809416465</v>
      </c>
      <c r="J401" s="5">
        <v>3724.0390035266059</v>
      </c>
      <c r="K401" s="5">
        <v>2885.5468072914359</v>
      </c>
      <c r="L401" s="5">
        <v>3193.951127236945</v>
      </c>
      <c r="M401" s="5">
        <v>3252.0500000000038</v>
      </c>
      <c r="N401" s="5">
        <v>3479.8508511763639</v>
      </c>
      <c r="O401" s="5">
        <v>3378.6408438414878</v>
      </c>
      <c r="P401">
        <v>3555.3323440277059</v>
      </c>
      <c r="Q401" s="5">
        <v>2949.850458882634</v>
      </c>
      <c r="R401" s="5">
        <v>3256.3671875</v>
      </c>
      <c r="S401" s="5">
        <v>3238.748046875</v>
      </c>
      <c r="T401" s="5">
        <v>3262.924103068638</v>
      </c>
      <c r="U401" s="5">
        <v>3444.9522737472225</v>
      </c>
      <c r="V401" s="5">
        <v>3075.8710904663299</v>
      </c>
      <c r="W401" s="5">
        <v>3002.3778742857753</v>
      </c>
      <c r="X401" s="5">
        <v>2998.8825136702608</v>
      </c>
      <c r="Y401" s="5">
        <v>2355.189765876858</v>
      </c>
    </row>
    <row r="402" spans="1:25">
      <c r="A402">
        <v>113.6</v>
      </c>
      <c r="B402">
        <v>3.2</v>
      </c>
      <c r="C402">
        <v>354.6</v>
      </c>
      <c r="D402">
        <v>42.7</v>
      </c>
      <c r="E402">
        <v>2.975352112676056</v>
      </c>
      <c r="F402">
        <v>1091</v>
      </c>
      <c r="G402" s="35">
        <v>1133.0841461111311</v>
      </c>
      <c r="H402" s="5">
        <v>571.87472490036544</v>
      </c>
      <c r="I402" s="5">
        <v>571.87505338370147</v>
      </c>
      <c r="J402" s="5">
        <v>571.9150921288865</v>
      </c>
      <c r="K402" s="5">
        <v>1014.885714285714</v>
      </c>
      <c r="L402" s="5">
        <v>1097.8808191036669</v>
      </c>
      <c r="M402" s="5">
        <v>1134.914045326926</v>
      </c>
      <c r="N402" s="5">
        <v>1012.8098398200621</v>
      </c>
      <c r="O402" s="5">
        <v>1008.645430884338</v>
      </c>
      <c r="P402">
        <v>1101.7944634486801</v>
      </c>
      <c r="Q402" s="5">
        <v>992.68396090410522</v>
      </c>
      <c r="R402" s="5">
        <v>1091.703735351562</v>
      </c>
      <c r="S402" s="5">
        <v>1035.6988525390625</v>
      </c>
      <c r="T402" s="5">
        <v>1092.7691830781544</v>
      </c>
      <c r="U402" s="5">
        <v>1022.9584712678069</v>
      </c>
      <c r="V402" s="5">
        <v>896.26206974080276</v>
      </c>
      <c r="W402" s="5">
        <v>967.96564714613908</v>
      </c>
      <c r="X402" s="5">
        <v>948.1228140409761</v>
      </c>
      <c r="Y402" s="5">
        <v>754.0381654647606</v>
      </c>
    </row>
    <row r="403" spans="1:25">
      <c r="A403">
        <v>166</v>
      </c>
      <c r="B403">
        <v>5</v>
      </c>
      <c r="C403">
        <v>288.10000000000002</v>
      </c>
      <c r="D403">
        <v>43.89</v>
      </c>
      <c r="E403">
        <v>6.2650602409638552</v>
      </c>
      <c r="F403">
        <v>1764</v>
      </c>
      <c r="G403" s="35">
        <v>1696.0243840517669</v>
      </c>
      <c r="H403" s="5">
        <v>2834.81187254824</v>
      </c>
      <c r="I403" s="5">
        <v>2834.8116034703089</v>
      </c>
      <c r="J403" s="5">
        <v>2834.7548978403729</v>
      </c>
      <c r="K403" s="5">
        <v>1649.578090114197</v>
      </c>
      <c r="L403" s="5">
        <v>1794.715519726939</v>
      </c>
      <c r="M403" s="5">
        <v>1703.706797247338</v>
      </c>
      <c r="N403" s="5">
        <v>1821.860408718828</v>
      </c>
      <c r="O403" s="5">
        <v>1778.4467490422339</v>
      </c>
      <c r="P403">
        <v>1771.3283457730879</v>
      </c>
      <c r="Q403" s="5">
        <v>1891.2272984475551</v>
      </c>
      <c r="R403" s="5">
        <v>1717.296142578125</v>
      </c>
      <c r="S403" s="5">
        <v>1860.50146484375</v>
      </c>
      <c r="T403" s="5">
        <v>1798.8598035589105</v>
      </c>
      <c r="U403" s="5">
        <v>2019.2208847352169</v>
      </c>
      <c r="V403" s="5">
        <v>1759.2537928888548</v>
      </c>
      <c r="W403" s="5">
        <v>1907.1915946602408</v>
      </c>
      <c r="X403" s="5">
        <v>1637.1307242304349</v>
      </c>
      <c r="Y403" s="5">
        <v>1481.070532498677</v>
      </c>
    </row>
    <row r="404" spans="1:25">
      <c r="A404">
        <v>108</v>
      </c>
      <c r="B404">
        <v>10</v>
      </c>
      <c r="C404">
        <v>366.2</v>
      </c>
      <c r="D404">
        <v>77.84</v>
      </c>
      <c r="E404">
        <v>3</v>
      </c>
      <c r="F404">
        <v>2186</v>
      </c>
      <c r="G404" s="35">
        <v>2250.235518777848</v>
      </c>
      <c r="H404" s="5">
        <v>2813.261312487306</v>
      </c>
      <c r="I404" s="5">
        <v>2813.2618007372412</v>
      </c>
      <c r="J404" s="5">
        <v>2813.222882846218</v>
      </c>
      <c r="K404" s="5">
        <v>2483.2222222222222</v>
      </c>
      <c r="L404" s="5">
        <v>2235.5125769230772</v>
      </c>
      <c r="M404" s="5">
        <v>2258.4854368932042</v>
      </c>
      <c r="N404" s="5">
        <v>2189.6607208923542</v>
      </c>
      <c r="O404" s="5">
        <v>2142.8644549234441</v>
      </c>
      <c r="P404">
        <v>2199.162156990355</v>
      </c>
      <c r="Q404" s="5">
        <v>2029.7258722129679</v>
      </c>
      <c r="R404" s="5">
        <v>2230.3466796875</v>
      </c>
      <c r="S404" s="5">
        <v>2221.089599609375</v>
      </c>
      <c r="T404" s="5">
        <v>2257.0615821004239</v>
      </c>
      <c r="U404" s="5">
        <v>2299.8888560354103</v>
      </c>
      <c r="V404" s="5">
        <v>2042.7486909166548</v>
      </c>
    </row>
    <row r="405" spans="1:25">
      <c r="A405">
        <v>166</v>
      </c>
      <c r="B405">
        <v>5</v>
      </c>
      <c r="C405">
        <v>274.58620000000002</v>
      </c>
      <c r="D405">
        <v>28.813899030000002</v>
      </c>
      <c r="E405">
        <v>2.1084337349397591</v>
      </c>
      <c r="F405">
        <v>1784.8103052122799</v>
      </c>
      <c r="G405" s="35">
        <v>1916.3328622763429</v>
      </c>
      <c r="H405" s="5">
        <v>2197.5491561862718</v>
      </c>
      <c r="I405" s="5">
        <v>2197.54943027543</v>
      </c>
      <c r="J405" s="5">
        <v>2197.6154645335532</v>
      </c>
      <c r="K405" s="5">
        <v>2018.4699702356429</v>
      </c>
      <c r="L405" s="5">
        <v>1945.471476652039</v>
      </c>
      <c r="M405" s="5">
        <v>1933.0330970221571</v>
      </c>
      <c r="N405" s="5">
        <v>1933.909544866744</v>
      </c>
      <c r="O405" s="5">
        <v>1989.590034739351</v>
      </c>
      <c r="P405">
        <v>1958.0466185375819</v>
      </c>
      <c r="Q405" s="5">
        <v>1798.6610108708801</v>
      </c>
      <c r="R405" s="5">
        <v>1984.89599609375</v>
      </c>
      <c r="S405" s="5">
        <v>1973.23681640625</v>
      </c>
      <c r="T405" s="5">
        <v>1883.062711605477</v>
      </c>
      <c r="U405" s="5">
        <v>1675.6992109586636</v>
      </c>
      <c r="V405" s="5">
        <v>1477.6876647227541</v>
      </c>
      <c r="W405" s="5">
        <v>1523.1379338125168</v>
      </c>
      <c r="X405" s="5">
        <v>1646.05543012557</v>
      </c>
      <c r="Y405" s="5">
        <v>1214.167263703994</v>
      </c>
    </row>
    <row r="406" spans="1:25">
      <c r="A406">
        <v>100</v>
      </c>
      <c r="B406">
        <v>0.52</v>
      </c>
      <c r="C406">
        <v>244</v>
      </c>
      <c r="D406">
        <v>18</v>
      </c>
      <c r="E406">
        <v>2</v>
      </c>
      <c r="F406">
        <v>239</v>
      </c>
      <c r="G406" s="35">
        <v>502.08051675656191</v>
      </c>
      <c r="H406" s="5">
        <v>-1410.177083525195</v>
      </c>
      <c r="I406" s="5">
        <v>-1410.1765518305349</v>
      </c>
      <c r="J406" s="5">
        <v>-1410.054645042731</v>
      </c>
      <c r="K406" s="5">
        <v>519.14545454545453</v>
      </c>
      <c r="L406" s="5">
        <v>411.59896864894853</v>
      </c>
      <c r="M406" s="5">
        <v>395.81928310524279</v>
      </c>
      <c r="N406" s="5">
        <v>380.19342193867271</v>
      </c>
      <c r="O406" s="5">
        <v>341.57839488923759</v>
      </c>
      <c r="P406">
        <v>325.75443440528352</v>
      </c>
      <c r="Q406" s="5">
        <v>396</v>
      </c>
      <c r="R406" s="5">
        <v>339.73519897460938</v>
      </c>
      <c r="S406" s="5">
        <v>-402.3863525390625</v>
      </c>
      <c r="T406" s="5">
        <v>258.62229543335673</v>
      </c>
      <c r="U406" s="5">
        <v>202.68469905690736</v>
      </c>
      <c r="V406" s="5">
        <v>170.19521939691774</v>
      </c>
    </row>
    <row r="407" spans="1:25">
      <c r="A407">
        <v>204</v>
      </c>
      <c r="B407">
        <v>2</v>
      </c>
      <c r="C407">
        <v>235.3596</v>
      </c>
      <c r="D407">
        <v>10.093004179999999</v>
      </c>
      <c r="E407">
        <v>4.3137254901960782</v>
      </c>
      <c r="F407">
        <v>1039.5049030357229</v>
      </c>
      <c r="G407" s="35">
        <v>1068.9248531216399</v>
      </c>
      <c r="H407" s="5">
        <v>2347.6551306207489</v>
      </c>
      <c r="I407" s="5">
        <v>2347.6548675717399</v>
      </c>
      <c r="J407" s="5">
        <v>2347.714473504408</v>
      </c>
      <c r="K407" s="5">
        <v>1370.658317013515</v>
      </c>
      <c r="L407" s="5">
        <v>1082.1792785256</v>
      </c>
      <c r="M407" s="5">
        <v>1068.878170749075</v>
      </c>
      <c r="N407" s="5">
        <v>1067.159542279594</v>
      </c>
      <c r="O407" s="5">
        <v>1063.4937165600049</v>
      </c>
      <c r="P407">
        <v>1059.364425348316</v>
      </c>
      <c r="Q407" s="5">
        <v>1129.172443398201</v>
      </c>
      <c r="R407" s="5">
        <v>1069.031372070312</v>
      </c>
      <c r="S407" s="5">
        <v>1141.1849365234375</v>
      </c>
      <c r="T407" s="5">
        <v>961.05776019175369</v>
      </c>
      <c r="U407" s="5">
        <v>801.00620142467881</v>
      </c>
      <c r="V407" s="5">
        <v>701.14269557558112</v>
      </c>
      <c r="W407" s="5">
        <v>639.94900131355348</v>
      </c>
    </row>
    <row r="408" spans="1:25">
      <c r="A408">
        <v>114.3</v>
      </c>
      <c r="B408">
        <v>2.74</v>
      </c>
      <c r="C408">
        <v>235</v>
      </c>
      <c r="D408">
        <v>107.2</v>
      </c>
      <c r="E408">
        <v>5.2493438320209984</v>
      </c>
      <c r="F408">
        <v>1296.6099999999999</v>
      </c>
      <c r="G408" s="35">
        <v>1286.7677643788541</v>
      </c>
      <c r="H408" s="5">
        <v>1183.4783267994951</v>
      </c>
      <c r="I408" s="5">
        <v>1183.47817660332</v>
      </c>
      <c r="J408" s="5">
        <v>1183.4264083908899</v>
      </c>
      <c r="K408" s="5">
        <v>1197.5514285714289</v>
      </c>
      <c r="L408" s="5">
        <v>1334.6043589743731</v>
      </c>
      <c r="M408" s="5">
        <v>1309.972483818769</v>
      </c>
      <c r="N408" s="5">
        <v>1377.324440107642</v>
      </c>
      <c r="O408" s="5">
        <v>1351.4007013392879</v>
      </c>
      <c r="P408">
        <v>1380.2743271549109</v>
      </c>
      <c r="Q408" s="5">
        <v>1243.5520599895781</v>
      </c>
      <c r="R408" s="5">
        <v>1376.04052734375</v>
      </c>
      <c r="S408" s="5">
        <v>1300.146240234375</v>
      </c>
      <c r="T408" s="5">
        <v>1329.7934304681696</v>
      </c>
      <c r="U408" s="5">
        <v>1321.9829843331725</v>
      </c>
      <c r="V408" s="5">
        <v>1134.9669316147313</v>
      </c>
    </row>
    <row r="409" spans="1:25">
      <c r="A409">
        <v>114.3</v>
      </c>
      <c r="B409">
        <v>3.35</v>
      </c>
      <c r="C409">
        <v>287.33</v>
      </c>
      <c r="D409">
        <v>58.68</v>
      </c>
      <c r="E409">
        <v>5</v>
      </c>
      <c r="F409">
        <v>902.9</v>
      </c>
      <c r="G409" s="35">
        <v>976.74330535602428</v>
      </c>
      <c r="H409" s="5">
        <v>908.91706920097408</v>
      </c>
      <c r="I409" s="5">
        <v>908.91712767659556</v>
      </c>
      <c r="J409" s="5">
        <v>908.89784225440735</v>
      </c>
      <c r="K409" s="5">
        <v>767.57145591132382</v>
      </c>
      <c r="L409" s="5">
        <v>922.15919978260513</v>
      </c>
      <c r="M409" s="5">
        <v>956.86362091791477</v>
      </c>
      <c r="N409" s="5">
        <v>935.70184121772218</v>
      </c>
      <c r="O409" s="5">
        <v>942.02189255759504</v>
      </c>
      <c r="P409">
        <v>956.48564740383347</v>
      </c>
      <c r="Q409" s="5">
        <v>1083.060189591338</v>
      </c>
      <c r="R409" s="5">
        <v>971.0369873046875</v>
      </c>
      <c r="S409" s="5">
        <v>1109.3125</v>
      </c>
      <c r="T409" s="5">
        <v>1060.5217871584846</v>
      </c>
      <c r="U409" s="5">
        <v>1077.109185407259</v>
      </c>
      <c r="V409" s="5">
        <v>928.00413161159634</v>
      </c>
      <c r="Y409" s="5">
        <v>824.64037252323715</v>
      </c>
    </row>
    <row r="410" spans="1:25">
      <c r="A410">
        <v>355.6</v>
      </c>
      <c r="B410">
        <v>11.18</v>
      </c>
      <c r="C410">
        <v>361</v>
      </c>
      <c r="D410">
        <v>38.6</v>
      </c>
      <c r="E410">
        <v>5.2868391451068613</v>
      </c>
      <c r="F410">
        <v>11460</v>
      </c>
      <c r="G410" s="35">
        <v>8308.6283137776973</v>
      </c>
      <c r="H410" s="5">
        <v>10748.687451585331</v>
      </c>
      <c r="I410" s="5">
        <v>10748.68639683985</v>
      </c>
      <c r="J410" s="5">
        <v>10748.55505138371</v>
      </c>
      <c r="K410" s="5">
        <v>9553</v>
      </c>
      <c r="L410" s="5">
        <v>8583.898407095272</v>
      </c>
      <c r="M410" s="5">
        <v>9221.3224595522206</v>
      </c>
      <c r="N410" s="5">
        <v>10088.525918071329</v>
      </c>
      <c r="O410" s="5">
        <v>7966.1261688784007</v>
      </c>
      <c r="P410">
        <v>8960.5592614036832</v>
      </c>
      <c r="Q410" s="5">
        <v>8326.6543895486593</v>
      </c>
      <c r="R410" s="5">
        <v>10617.1064453125</v>
      </c>
      <c r="S410" s="5">
        <v>11299.9931640625</v>
      </c>
      <c r="T410" s="5">
        <v>10023.359750678124</v>
      </c>
      <c r="U410" s="5">
        <v>10441.205320003804</v>
      </c>
      <c r="V410" s="5">
        <v>9213.9694837097068</v>
      </c>
      <c r="W410" s="5">
        <v>9196.5894239503759</v>
      </c>
      <c r="X410" s="5">
        <v>8504.7759154992746</v>
      </c>
      <c r="Y410" s="5">
        <v>7396.7576064206942</v>
      </c>
    </row>
    <row r="411" spans="1:25">
      <c r="A411">
        <v>114.3</v>
      </c>
      <c r="B411">
        <v>2.74</v>
      </c>
      <c r="C411">
        <v>235</v>
      </c>
      <c r="D411">
        <v>56.2</v>
      </c>
      <c r="E411">
        <v>2.6246719160104992</v>
      </c>
      <c r="F411">
        <v>901.81</v>
      </c>
      <c r="G411" s="35">
        <v>914.02116130291449</v>
      </c>
      <c r="H411" s="5">
        <v>401.78242733228808</v>
      </c>
      <c r="I411" s="5">
        <v>401.78276342205658</v>
      </c>
      <c r="J411" s="5">
        <v>401.82971130935988</v>
      </c>
      <c r="K411" s="5">
        <v>939.10714285714289</v>
      </c>
      <c r="L411" s="5">
        <v>989.75523210000324</v>
      </c>
      <c r="M411" s="5">
        <v>954.07388430420735</v>
      </c>
      <c r="N411" s="5">
        <v>849.71420547779144</v>
      </c>
      <c r="O411" s="5">
        <v>870.25102913389048</v>
      </c>
      <c r="P411">
        <v>856.28012991666867</v>
      </c>
      <c r="Q411" s="5">
        <v>1031.92</v>
      </c>
      <c r="R411" s="5">
        <v>916.4710693359375</v>
      </c>
      <c r="S411" s="5">
        <v>717.468505859375</v>
      </c>
      <c r="T411" s="5">
        <v>1014.6249752568468</v>
      </c>
      <c r="U411" s="5">
        <v>888.27724042709451</v>
      </c>
      <c r="V411" s="5">
        <v>755.50563392114168</v>
      </c>
      <c r="X411" s="5">
        <v>857.60613823876713</v>
      </c>
      <c r="Y411" s="5">
        <v>718.05785207573797</v>
      </c>
    </row>
    <row r="412" spans="1:25">
      <c r="A412">
        <v>174</v>
      </c>
      <c r="B412">
        <v>3</v>
      </c>
      <c r="C412">
        <v>265.95634799999999</v>
      </c>
      <c r="D412">
        <v>23.928225999999999</v>
      </c>
      <c r="E412">
        <v>2.068965517241379</v>
      </c>
      <c r="F412">
        <v>1314.091103837613</v>
      </c>
      <c r="G412" s="35">
        <v>1617.0569126964599</v>
      </c>
      <c r="H412" s="5">
        <v>1902.7418638698521</v>
      </c>
      <c r="I412" s="5">
        <v>1902.7420056344481</v>
      </c>
      <c r="J412" s="5">
        <v>1902.8192386354599</v>
      </c>
      <c r="K412" s="5">
        <v>1226.359976</v>
      </c>
      <c r="L412" s="5">
        <v>1466.403073923341</v>
      </c>
      <c r="M412" s="5">
        <v>1482.1827557935151</v>
      </c>
      <c r="N412" s="5">
        <v>1250.9412872225789</v>
      </c>
      <c r="O412" s="5">
        <v>1414.2405730476539</v>
      </c>
      <c r="P412">
        <v>1280.7056178468761</v>
      </c>
      <c r="Q412" s="5">
        <v>1566.578710045907</v>
      </c>
      <c r="R412" s="5">
        <v>1349.526000976562</v>
      </c>
      <c r="S412" s="5">
        <v>1396.116455078125</v>
      </c>
      <c r="T412" s="5">
        <v>1223.0801840767381</v>
      </c>
      <c r="U412" s="5">
        <v>1224.7915071031591</v>
      </c>
      <c r="V412" s="5">
        <v>1065.7258327426739</v>
      </c>
      <c r="W412" s="5">
        <v>1008.5176899460404</v>
      </c>
      <c r="Y412" s="5">
        <v>929.82036855534079</v>
      </c>
    </row>
    <row r="413" spans="1:25">
      <c r="A413">
        <v>101.7</v>
      </c>
      <c r="B413">
        <v>3.03</v>
      </c>
      <c r="C413">
        <v>371</v>
      </c>
      <c r="D413">
        <v>40.200000000000003</v>
      </c>
      <c r="E413">
        <v>2.9990167158308751</v>
      </c>
      <c r="F413">
        <v>800</v>
      </c>
      <c r="G413" s="35">
        <v>752.44796849787235</v>
      </c>
      <c r="H413" s="5">
        <v>228.34534154425461</v>
      </c>
      <c r="I413" s="5">
        <v>228.34569093441041</v>
      </c>
      <c r="J413" s="5">
        <v>228.37807481054779</v>
      </c>
      <c r="K413" s="5">
        <v>730.52499999999998</v>
      </c>
      <c r="L413" s="5">
        <v>786.47238833695985</v>
      </c>
      <c r="M413" s="5">
        <v>756.15067424883182</v>
      </c>
      <c r="N413" s="5">
        <v>763.41692508933227</v>
      </c>
      <c r="O413" s="5">
        <v>720.09083851468574</v>
      </c>
      <c r="P413">
        <v>706.67572449794932</v>
      </c>
      <c r="Q413" s="5">
        <v>794.14159973443157</v>
      </c>
      <c r="R413" s="5">
        <v>734.37969970703125</v>
      </c>
      <c r="S413" s="5">
        <v>836.4927978515625</v>
      </c>
      <c r="T413" s="5">
        <v>924.60342845706805</v>
      </c>
      <c r="U413" s="5">
        <v>853.30197952184051</v>
      </c>
      <c r="V413" s="5">
        <v>751.47871579146477</v>
      </c>
      <c r="W413" s="5">
        <v>797.784159574932</v>
      </c>
      <c r="X413" s="5">
        <v>785.22495317645712</v>
      </c>
      <c r="Y413" s="5">
        <v>618.14607890271714</v>
      </c>
    </row>
    <row r="414" spans="1:25">
      <c r="A414">
        <v>129</v>
      </c>
      <c r="B414">
        <v>3</v>
      </c>
      <c r="C414">
        <v>306</v>
      </c>
      <c r="D414">
        <v>45.04</v>
      </c>
      <c r="E414">
        <v>3</v>
      </c>
      <c r="F414">
        <v>1118</v>
      </c>
      <c r="G414" s="35">
        <v>1111.3825100133511</v>
      </c>
      <c r="H414" s="5">
        <v>969.26063282470705</v>
      </c>
      <c r="I414" s="5">
        <v>969.26086825488983</v>
      </c>
      <c r="J414" s="5">
        <v>969.29840360820208</v>
      </c>
      <c r="K414" s="5">
        <v>1015.125</v>
      </c>
      <c r="L414" s="5">
        <v>1136.125756749213</v>
      </c>
      <c r="M414" s="5">
        <v>1121.7546212821701</v>
      </c>
      <c r="N414" s="5">
        <v>1094.351960353157</v>
      </c>
      <c r="O414" s="5">
        <v>1167.2650626344789</v>
      </c>
      <c r="P414">
        <v>1213.1660350156981</v>
      </c>
      <c r="Q414" s="5">
        <v>1187.739500084984</v>
      </c>
      <c r="R414" s="5">
        <v>1145.376831054688</v>
      </c>
      <c r="S414" s="5">
        <v>1238.7886962890625</v>
      </c>
      <c r="T414" s="5">
        <v>1209.7003836000185</v>
      </c>
      <c r="U414" s="5">
        <v>1123.8567054541488</v>
      </c>
      <c r="V414" s="5">
        <v>971.41737918948661</v>
      </c>
      <c r="W414" s="5">
        <v>1086.0487887472052</v>
      </c>
      <c r="X414" s="5">
        <v>1057.8077291678051</v>
      </c>
      <c r="Y414" s="5">
        <v>865.19239790943971</v>
      </c>
    </row>
    <row r="415" spans="1:25">
      <c r="A415">
        <v>121</v>
      </c>
      <c r="B415">
        <v>12</v>
      </c>
      <c r="C415">
        <v>294.2</v>
      </c>
      <c r="D415">
        <v>26.39538963236653</v>
      </c>
      <c r="E415">
        <v>4.1322314049586772</v>
      </c>
      <c r="F415">
        <v>1873</v>
      </c>
      <c r="G415" s="35">
        <v>2589</v>
      </c>
      <c r="H415" s="5">
        <v>3005.8440698206382</v>
      </c>
      <c r="I415" s="5">
        <v>3005.8446410321249</v>
      </c>
      <c r="J415" s="5">
        <v>3005.7787555447649</v>
      </c>
      <c r="K415" s="5">
        <v>2415.6332274022352</v>
      </c>
      <c r="L415" s="5">
        <v>2527.015704898186</v>
      </c>
      <c r="M415" s="5">
        <v>2589</v>
      </c>
      <c r="N415" s="5">
        <v>2438.8844318352049</v>
      </c>
      <c r="O415" s="5">
        <v>2527.6135095660952</v>
      </c>
      <c r="P415">
        <v>2515.604687078438</v>
      </c>
      <c r="Q415" s="5">
        <v>2459.3535198542982</v>
      </c>
      <c r="R415" s="5">
        <v>2580.475830078125</v>
      </c>
      <c r="S415" s="5">
        <v>2449.3388671875</v>
      </c>
      <c r="T415" s="5">
        <v>2386.3222074195314</v>
      </c>
      <c r="U415" s="5">
        <v>2153.5196266789444</v>
      </c>
      <c r="V415" s="5">
        <v>1937.5954970522614</v>
      </c>
      <c r="W415" s="5">
        <v>1675.2485626649473</v>
      </c>
      <c r="Y415" s="5">
        <v>1378.81930220442</v>
      </c>
    </row>
    <row r="416" spans="1:25">
      <c r="A416">
        <v>114</v>
      </c>
      <c r="B416">
        <v>5.6</v>
      </c>
      <c r="C416">
        <v>300</v>
      </c>
      <c r="D416">
        <v>33.430466935522098</v>
      </c>
      <c r="E416">
        <v>2.192982456140351</v>
      </c>
      <c r="F416">
        <v>1710</v>
      </c>
      <c r="G416" s="35">
        <v>1474.8191515677579</v>
      </c>
      <c r="H416" s="5">
        <v>857.22786325718266</v>
      </c>
      <c r="I416" s="5">
        <v>857.22842723941517</v>
      </c>
      <c r="J416" s="5">
        <v>857.28972573016313</v>
      </c>
      <c r="K416" s="5">
        <v>1600.181</v>
      </c>
      <c r="L416" s="5">
        <v>1413.8473651004181</v>
      </c>
      <c r="M416" s="5">
        <v>1459.0327520483729</v>
      </c>
      <c r="N416" s="5">
        <v>1342.374060803169</v>
      </c>
      <c r="O416" s="5">
        <v>1571.9331627645211</v>
      </c>
      <c r="P416">
        <v>1415.070119589157</v>
      </c>
      <c r="Q416" s="5">
        <v>1183.180956363605</v>
      </c>
      <c r="R416" s="5">
        <v>1596.807373046875</v>
      </c>
      <c r="S416" s="5">
        <v>1077.4088134765625</v>
      </c>
      <c r="T416" s="5">
        <v>1423.8861588596835</v>
      </c>
      <c r="U416" s="5">
        <v>1204.3087980108517</v>
      </c>
      <c r="V416" s="5">
        <v>1073.73471331212</v>
      </c>
      <c r="W416" s="5">
        <v>1069.4016890386613</v>
      </c>
      <c r="X416" s="5">
        <v>1144.4796356276181</v>
      </c>
      <c r="Y416" s="5">
        <v>833.06347553685441</v>
      </c>
    </row>
    <row r="417" spans="1:25">
      <c r="A417">
        <v>108</v>
      </c>
      <c r="B417">
        <v>10</v>
      </c>
      <c r="C417">
        <v>366.2</v>
      </c>
      <c r="D417">
        <v>71.760000000000005</v>
      </c>
      <c r="E417">
        <v>3</v>
      </c>
      <c r="F417">
        <v>2182</v>
      </c>
      <c r="G417" s="35">
        <v>2220.239677266256</v>
      </c>
      <c r="H417" s="5">
        <v>2852.404444779675</v>
      </c>
      <c r="I417" s="5">
        <v>2852.404947003768</v>
      </c>
      <c r="J417" s="5">
        <v>2852.380936543811</v>
      </c>
      <c r="K417" s="5">
        <v>2220.8571428571431</v>
      </c>
      <c r="L417" s="5">
        <v>2172.9069198717971</v>
      </c>
      <c r="M417" s="5">
        <v>2202.941747572816</v>
      </c>
      <c r="N417" s="5">
        <v>2293.3389068580218</v>
      </c>
      <c r="O417" s="5">
        <v>2214.0053744134739</v>
      </c>
      <c r="P417">
        <v>2284.376744767997</v>
      </c>
      <c r="Q417" s="5">
        <v>2102.0718304676589</v>
      </c>
      <c r="R417" s="5">
        <v>2185.27734375</v>
      </c>
      <c r="S417" s="5">
        <v>2166.684326171875</v>
      </c>
      <c r="T417" s="5">
        <v>2232.2304182174653</v>
      </c>
      <c r="U417" s="5">
        <v>2262.9095459011232</v>
      </c>
      <c r="V417" s="5">
        <v>2013.1652428092254</v>
      </c>
      <c r="W417" s="5">
        <v>1838.5026253318038</v>
      </c>
    </row>
    <row r="418" spans="1:25">
      <c r="A418">
        <v>159</v>
      </c>
      <c r="B418">
        <v>8</v>
      </c>
      <c r="C418">
        <v>438</v>
      </c>
      <c r="D418">
        <v>46.831412032875782</v>
      </c>
      <c r="E418">
        <v>3.1446540880503151</v>
      </c>
      <c r="F418">
        <v>3330.4</v>
      </c>
      <c r="G418" s="35">
        <v>3220.55</v>
      </c>
      <c r="H418" s="5">
        <v>3854.8348735135451</v>
      </c>
      <c r="I418" s="5">
        <v>3854.8350339677991</v>
      </c>
      <c r="J418" s="5">
        <v>3854.802043853686</v>
      </c>
      <c r="K418" s="5">
        <v>3429.057142857142</v>
      </c>
      <c r="L418" s="5">
        <v>3192.1840231757869</v>
      </c>
      <c r="M418" s="5">
        <v>3220.5500000000038</v>
      </c>
      <c r="N418" s="5">
        <v>3505.8846490301539</v>
      </c>
      <c r="O418" s="5">
        <v>3371.3653780863278</v>
      </c>
      <c r="P418">
        <v>3444.988972327174</v>
      </c>
      <c r="Q418" s="5">
        <v>3012.49645971374</v>
      </c>
      <c r="R418" s="5">
        <v>3226.271728515625</v>
      </c>
      <c r="S418" s="5">
        <v>3301.488525390625</v>
      </c>
      <c r="T418" s="5">
        <v>3262.924103068638</v>
      </c>
      <c r="U418" s="5">
        <v>3444.9522737472225</v>
      </c>
      <c r="V418" s="5">
        <v>3075.8710904663299</v>
      </c>
      <c r="W418" s="5">
        <v>3002.3778742857753</v>
      </c>
      <c r="X418" s="5">
        <v>2998.8825136702608</v>
      </c>
      <c r="Y418" s="5">
        <v>2355.189765876858</v>
      </c>
    </row>
    <row r="419" spans="1:25">
      <c r="A419">
        <v>204</v>
      </c>
      <c r="B419">
        <v>2</v>
      </c>
      <c r="C419">
        <v>235.2</v>
      </c>
      <c r="D419">
        <v>39.53</v>
      </c>
      <c r="E419">
        <v>4.117647058823529</v>
      </c>
      <c r="F419">
        <v>1637</v>
      </c>
      <c r="G419" s="35">
        <v>1436.4648842418919</v>
      </c>
      <c r="H419" s="5">
        <v>2811.2557745192171</v>
      </c>
      <c r="I419" s="5">
        <v>2811.2554461294631</v>
      </c>
      <c r="J419" s="5">
        <v>2811.3008185962349</v>
      </c>
      <c r="K419" s="5">
        <v>1370.658317013515</v>
      </c>
      <c r="L419" s="5">
        <v>1724.110628070667</v>
      </c>
      <c r="M419" s="5">
        <v>1586.644714043337</v>
      </c>
      <c r="N419" s="5">
        <v>1773.016169349213</v>
      </c>
      <c r="O419" s="5">
        <v>1516.0011824211899</v>
      </c>
      <c r="P419">
        <v>1615.8600675994519</v>
      </c>
      <c r="Q419" s="5">
        <v>1602.0867171152049</v>
      </c>
      <c r="R419" s="5">
        <v>1406.045166015625</v>
      </c>
      <c r="S419" s="5">
        <v>1897.61962890625</v>
      </c>
      <c r="T419" s="5">
        <v>1696.7634245557535</v>
      </c>
      <c r="U419" s="5">
        <v>1725.4685444575698</v>
      </c>
      <c r="V419" s="5">
        <v>1440.6716543034649</v>
      </c>
      <c r="W419" s="5">
        <v>1476.4216600186903</v>
      </c>
      <c r="Y419" s="5">
        <v>1453.4473634950209</v>
      </c>
    </row>
    <row r="420" spans="1:25">
      <c r="A420">
        <v>92</v>
      </c>
      <c r="B420">
        <v>3</v>
      </c>
      <c r="C420">
        <v>260.7</v>
      </c>
      <c r="D420">
        <v>20.71</v>
      </c>
      <c r="E420">
        <v>5</v>
      </c>
      <c r="F420">
        <v>501</v>
      </c>
      <c r="G420" s="35">
        <v>745.27264224308067</v>
      </c>
      <c r="H420" s="5">
        <v>-607.69267927218243</v>
      </c>
      <c r="I420" s="5">
        <v>-607.69235941806937</v>
      </c>
      <c r="J420" s="5">
        <v>-607.66682312105604</v>
      </c>
      <c r="K420" s="5">
        <v>574.4</v>
      </c>
      <c r="L420" s="5">
        <v>573.91381218480205</v>
      </c>
      <c r="M420" s="5">
        <v>561.99960026975191</v>
      </c>
      <c r="N420" s="5">
        <v>489.508532962527</v>
      </c>
      <c r="O420" s="5">
        <v>470.77066004952928</v>
      </c>
      <c r="P420">
        <v>453.01984303261969</v>
      </c>
      <c r="Q420" s="5">
        <v>616.97680716209425</v>
      </c>
      <c r="R420" s="5">
        <v>546.2562255859375</v>
      </c>
      <c r="S420" s="5">
        <v>558.4022216796875</v>
      </c>
      <c r="T420" s="5">
        <v>584.0769457510421</v>
      </c>
      <c r="U420" s="5">
        <v>474.55631934969489</v>
      </c>
      <c r="V420" s="5">
        <v>422.69867090990391</v>
      </c>
      <c r="W420" s="5">
        <v>420.32845737085552</v>
      </c>
    </row>
    <row r="421" spans="1:25">
      <c r="A421">
        <v>142</v>
      </c>
      <c r="B421">
        <v>4.3</v>
      </c>
      <c r="C421">
        <v>433</v>
      </c>
      <c r="D421">
        <v>53.512475653077352</v>
      </c>
      <c r="E421">
        <v>2.950704225352113</v>
      </c>
      <c r="F421">
        <v>1500</v>
      </c>
      <c r="G421" s="35">
        <v>1543.5342298266289</v>
      </c>
      <c r="H421" s="5">
        <v>2225.488506846375</v>
      </c>
      <c r="I421" s="5">
        <v>2225.4885918729242</v>
      </c>
      <c r="J421" s="5">
        <v>2225.4838623012852</v>
      </c>
      <c r="K421" s="5">
        <v>1587.5</v>
      </c>
      <c r="L421" s="5">
        <v>1581.0687271832301</v>
      </c>
      <c r="M421" s="5">
        <v>1534.1707466481739</v>
      </c>
      <c r="N421" s="5">
        <v>1607.8377456588451</v>
      </c>
      <c r="O421" s="5">
        <v>1562.2310757701409</v>
      </c>
      <c r="P421">
        <v>1531.7180032799149</v>
      </c>
      <c r="Q421" s="5">
        <v>1800.987254321542</v>
      </c>
      <c r="R421" s="5">
        <v>1566.923950195312</v>
      </c>
      <c r="S421" s="5">
        <v>1733.7977294921875</v>
      </c>
      <c r="T421" s="5">
        <v>2049.118011737015</v>
      </c>
      <c r="U421" s="5">
        <v>2052.756218922279</v>
      </c>
      <c r="V421" s="5">
        <v>1801.2278201067963</v>
      </c>
      <c r="W421" s="5">
        <v>1916.7906407987316</v>
      </c>
      <c r="X421" s="5">
        <v>1873.2394105000701</v>
      </c>
      <c r="Y421" s="5">
        <v>1502.9885655638029</v>
      </c>
    </row>
    <row r="422" spans="1:25">
      <c r="A422">
        <v>273</v>
      </c>
      <c r="B422">
        <v>8</v>
      </c>
      <c r="C422">
        <v>306.94814500000001</v>
      </c>
      <c r="D422">
        <v>14.48834471</v>
      </c>
      <c r="E422">
        <v>4.0293040293040292</v>
      </c>
      <c r="F422">
        <v>5295.5910154650064</v>
      </c>
      <c r="G422" s="35">
        <v>5197.5245151786175</v>
      </c>
      <c r="H422" s="5">
        <v>6492.539357504018</v>
      </c>
      <c r="I422" s="5">
        <v>6492.5389241488956</v>
      </c>
      <c r="J422" s="5">
        <v>6492.5380706651158</v>
      </c>
      <c r="K422" s="5">
        <v>4387.6396569656172</v>
      </c>
      <c r="L422" s="5">
        <v>5089.3688779663389</v>
      </c>
      <c r="M422" s="5">
        <v>5197.5245151786276</v>
      </c>
      <c r="N422" s="5">
        <v>4593.0413431784091</v>
      </c>
      <c r="O422" s="5">
        <v>5056.7673983954392</v>
      </c>
      <c r="P422">
        <v>5032.3243938271053</v>
      </c>
      <c r="Q422" s="5">
        <v>4864.0193574876894</v>
      </c>
      <c r="R422" s="5">
        <v>5197.5244140625</v>
      </c>
      <c r="S422" s="5">
        <v>5484.20654296875</v>
      </c>
      <c r="T422" s="5">
        <v>4391.3423576695441</v>
      </c>
      <c r="U422" s="5">
        <v>4063.3921070829824</v>
      </c>
      <c r="V422" s="5">
        <v>3654.7995965451837</v>
      </c>
      <c r="W422" s="5">
        <v>3247.2670655510101</v>
      </c>
    </row>
    <row r="423" spans="1:25">
      <c r="A423">
        <v>152.55240000000001</v>
      </c>
      <c r="B423">
        <v>4.9021999999999997</v>
      </c>
      <c r="C423">
        <v>633.42135131359998</v>
      </c>
      <c r="D423">
        <v>43.436970864000003</v>
      </c>
      <c r="E423">
        <v>1.9985014985014979</v>
      </c>
      <c r="F423">
        <v>2913.5851480000001</v>
      </c>
      <c r="G423" s="35">
        <v>1634.9716335097689</v>
      </c>
      <c r="H423" s="5">
        <v>3222.3506549409049</v>
      </c>
      <c r="I423" s="5">
        <v>3222.3506575008541</v>
      </c>
      <c r="J423" s="5">
        <v>3222.3217561663359</v>
      </c>
      <c r="K423" s="5">
        <v>2142.4</v>
      </c>
      <c r="L423" s="5">
        <v>2130.641304962729</v>
      </c>
      <c r="M423" s="5">
        <v>2193.8594773226741</v>
      </c>
      <c r="N423" s="5">
        <v>2278.7249340494368</v>
      </c>
      <c r="O423" s="5">
        <v>1927.7564841737451</v>
      </c>
      <c r="P423">
        <v>1846.0151931988951</v>
      </c>
      <c r="Q423" s="5">
        <v>1781.7136379553169</v>
      </c>
      <c r="R423" s="5">
        <v>1815.052978515625</v>
      </c>
      <c r="S423" s="5">
        <v>1613.4102783203125</v>
      </c>
      <c r="T423" s="5">
        <v>2872.110723772123</v>
      </c>
      <c r="U423" s="5">
        <v>2884.4975079818669</v>
      </c>
      <c r="V423" s="5">
        <v>2706.5678592282748</v>
      </c>
      <c r="W423" s="5">
        <v>2586.7917522538592</v>
      </c>
    </row>
    <row r="424" spans="1:25">
      <c r="A424">
        <v>165</v>
      </c>
      <c r="B424">
        <v>2.75</v>
      </c>
      <c r="C424">
        <v>350</v>
      </c>
      <c r="D424">
        <v>24.70645716721647</v>
      </c>
      <c r="E424">
        <v>3.0909090909090908</v>
      </c>
      <c r="F424">
        <v>1560</v>
      </c>
      <c r="G424" s="35">
        <v>1563.0139542711929</v>
      </c>
      <c r="H424" s="5">
        <v>1796.0234734210389</v>
      </c>
      <c r="I424" s="5">
        <v>1796.0235457416011</v>
      </c>
      <c r="J424" s="5">
        <v>1796.0657906759741</v>
      </c>
      <c r="K424" s="5">
        <v>1718.55</v>
      </c>
      <c r="L424" s="5">
        <v>1586.9621181887289</v>
      </c>
      <c r="M424" s="5">
        <v>1599.7916978958181</v>
      </c>
      <c r="N424" s="5">
        <v>1366.1903948614231</v>
      </c>
      <c r="O424" s="5">
        <v>1328.4833620134571</v>
      </c>
      <c r="P424">
        <v>1424.3766855922779</v>
      </c>
      <c r="Q424" s="5">
        <v>1408.8965251470411</v>
      </c>
      <c r="R424" s="5">
        <v>1380.485107421875</v>
      </c>
      <c r="S424" s="5">
        <v>1390.6865234375</v>
      </c>
      <c r="T424" s="5">
        <v>1348.0298806444844</v>
      </c>
      <c r="U424" s="5">
        <v>1288.4391658519414</v>
      </c>
      <c r="V424" s="5">
        <v>1129.1265902088144</v>
      </c>
      <c r="W424" s="5">
        <v>1053.0011385810133</v>
      </c>
      <c r="Y424" s="5">
        <v>952.365740498695</v>
      </c>
    </row>
    <row r="425" spans="1:25">
      <c r="A425">
        <v>125</v>
      </c>
      <c r="B425">
        <v>1</v>
      </c>
      <c r="C425">
        <v>232</v>
      </c>
      <c r="D425">
        <v>67.760000000000005</v>
      </c>
      <c r="E425">
        <v>3.504</v>
      </c>
      <c r="F425">
        <v>1239</v>
      </c>
      <c r="G425" s="35">
        <v>1275</v>
      </c>
      <c r="H425" s="5">
        <v>350.65740721182601</v>
      </c>
      <c r="I425" s="5">
        <v>350.65747100531007</v>
      </c>
      <c r="J425" s="5">
        <v>350.69366986812429</v>
      </c>
      <c r="K425" s="5">
        <v>1335.7</v>
      </c>
      <c r="L425" s="5">
        <v>1278.303255815018</v>
      </c>
      <c r="M425" s="5">
        <v>1273.9288640776699</v>
      </c>
      <c r="N425" s="5">
        <v>1231.6967348696101</v>
      </c>
      <c r="O425" s="5">
        <v>1246.7561189681339</v>
      </c>
      <c r="P425">
        <v>1214.7961871554519</v>
      </c>
      <c r="Q425" s="5">
        <v>1272.1937619118589</v>
      </c>
      <c r="R425" s="5">
        <v>1277.144287109375</v>
      </c>
      <c r="S425" s="5">
        <v>1219.4771728515625</v>
      </c>
      <c r="T425" s="5">
        <v>1136.2284156988055</v>
      </c>
      <c r="U425" s="5">
        <v>951.5551767220735</v>
      </c>
      <c r="V425" s="5">
        <v>779.53345256036653</v>
      </c>
      <c r="Y425" s="5">
        <v>840.01457965348663</v>
      </c>
    </row>
    <row r="426" spans="1:25">
      <c r="A426">
        <v>165</v>
      </c>
      <c r="B426">
        <v>2</v>
      </c>
      <c r="C426">
        <v>338</v>
      </c>
      <c r="D426">
        <v>49.777395755965507</v>
      </c>
      <c r="E426">
        <v>3.0303030303030298</v>
      </c>
      <c r="F426">
        <v>2381.4</v>
      </c>
      <c r="G426" s="35">
        <v>1925.7</v>
      </c>
      <c r="H426" s="5">
        <v>2000.3000121058419</v>
      </c>
      <c r="I426" s="5">
        <v>2000.299925612856</v>
      </c>
      <c r="J426" s="5">
        <v>2000.3268224605861</v>
      </c>
      <c r="K426" s="5">
        <v>1909.3714285714291</v>
      </c>
      <c r="L426" s="5">
        <v>1965.2112935800981</v>
      </c>
      <c r="M426" s="5">
        <v>1925.2993851132751</v>
      </c>
      <c r="N426" s="5">
        <v>2045.0806037521711</v>
      </c>
      <c r="O426" s="5">
        <v>2097.8670649639648</v>
      </c>
      <c r="P426">
        <v>2077.6562185612779</v>
      </c>
      <c r="Q426" s="5">
        <v>1944.0979049112359</v>
      </c>
      <c r="R426" s="5">
        <v>1935.932861328125</v>
      </c>
      <c r="S426" s="5">
        <v>1949.1881103515625</v>
      </c>
      <c r="T426" s="5">
        <v>1695.8383351833138</v>
      </c>
      <c r="U426" s="5">
        <v>1574.1720587285729</v>
      </c>
      <c r="V426" s="5">
        <v>1329.089107884829</v>
      </c>
      <c r="W426" s="5">
        <v>1361.7303335383394</v>
      </c>
      <c r="Y426" s="5">
        <v>1295.291419102135</v>
      </c>
    </row>
    <row r="427" spans="1:25">
      <c r="A427">
        <v>358</v>
      </c>
      <c r="B427">
        <v>5.66</v>
      </c>
      <c r="C427">
        <v>290</v>
      </c>
      <c r="D427">
        <v>73.2</v>
      </c>
      <c r="E427">
        <v>2</v>
      </c>
      <c r="F427">
        <v>9609</v>
      </c>
      <c r="G427" s="35">
        <v>10045</v>
      </c>
      <c r="H427" s="5">
        <v>9216.0749442935994</v>
      </c>
      <c r="I427" s="5">
        <v>9216.0739901972629</v>
      </c>
      <c r="J427" s="5">
        <v>9216.0495075973049</v>
      </c>
      <c r="K427" s="5">
        <v>7873.8515052331086</v>
      </c>
      <c r="L427" s="5">
        <v>9495.0798140821025</v>
      </c>
      <c r="M427" s="5">
        <v>10045</v>
      </c>
      <c r="N427" s="5">
        <v>9371.5672624444251</v>
      </c>
      <c r="O427" s="5">
        <v>9936.5303908727583</v>
      </c>
      <c r="P427">
        <v>10334.35399048517</v>
      </c>
      <c r="Q427" s="5">
        <v>9601.6647083262578</v>
      </c>
      <c r="R427" s="5">
        <v>9992.8984375</v>
      </c>
      <c r="S427" s="5">
        <v>10027.896484375</v>
      </c>
      <c r="T427" s="5">
        <v>10138.524022933014</v>
      </c>
      <c r="U427" s="5">
        <v>9853.0352501496091</v>
      </c>
      <c r="V427" s="5">
        <v>8247.0820398524102</v>
      </c>
    </row>
    <row r="428" spans="1:25">
      <c r="A428">
        <v>133</v>
      </c>
      <c r="B428">
        <v>5</v>
      </c>
      <c r="C428">
        <v>306</v>
      </c>
      <c r="D428">
        <v>47.04</v>
      </c>
      <c r="E428">
        <v>3</v>
      </c>
      <c r="F428">
        <v>1569</v>
      </c>
      <c r="G428" s="35">
        <v>1522.3116395494369</v>
      </c>
      <c r="H428" s="5">
        <v>1593.295878035656</v>
      </c>
      <c r="I428" s="5">
        <v>1593.2961859000809</v>
      </c>
      <c r="J428" s="5">
        <v>1593.3277814684041</v>
      </c>
      <c r="K428" s="5">
        <v>1467</v>
      </c>
      <c r="L428" s="5">
        <v>1558.518807694576</v>
      </c>
      <c r="M428" s="5">
        <v>1545.0329288025889</v>
      </c>
      <c r="N428" s="5">
        <v>1538.8163296926509</v>
      </c>
      <c r="O428" s="5">
        <v>1540.514683580245</v>
      </c>
      <c r="P428">
        <v>1557.261692858043</v>
      </c>
      <c r="Q428" s="5">
        <v>1571.541569678003</v>
      </c>
      <c r="R428" s="5">
        <v>1506.071411132812</v>
      </c>
      <c r="S428" s="5">
        <v>1565.436767578125</v>
      </c>
      <c r="T428" s="5">
        <v>1593.4682914629193</v>
      </c>
      <c r="U428" s="5">
        <v>1555.6470643644623</v>
      </c>
      <c r="V428" s="5">
        <v>1364.9098026532672</v>
      </c>
      <c r="W428" s="5">
        <v>1460.3583193010102</v>
      </c>
      <c r="X428" s="5">
        <v>1435.37410444033</v>
      </c>
      <c r="Y428" s="5">
        <v>1138.5243925178379</v>
      </c>
    </row>
    <row r="429" spans="1:25">
      <c r="A429">
        <v>101.5</v>
      </c>
      <c r="B429">
        <v>3.03</v>
      </c>
      <c r="C429">
        <v>371</v>
      </c>
      <c r="D429">
        <v>51.3</v>
      </c>
      <c r="E429">
        <v>3.0049261083743839</v>
      </c>
      <c r="F429">
        <v>862</v>
      </c>
      <c r="G429" s="35">
        <v>859</v>
      </c>
      <c r="H429" s="5">
        <v>421.83832886266458</v>
      </c>
      <c r="I429" s="5">
        <v>421.83864178295488</v>
      </c>
      <c r="J429" s="5">
        <v>421.8588026158593</v>
      </c>
      <c r="K429" s="5">
        <v>793.28571428571433</v>
      </c>
      <c r="L429" s="5">
        <v>852.50084844207481</v>
      </c>
      <c r="M429" s="5">
        <v>857.96472027319328</v>
      </c>
      <c r="N429" s="5">
        <v>852.0370054841103</v>
      </c>
      <c r="O429" s="5">
        <v>864.80255006891753</v>
      </c>
      <c r="P429">
        <v>861.69155043922274</v>
      </c>
      <c r="Q429" s="5">
        <v>802.4733907893775</v>
      </c>
      <c r="R429" s="5">
        <v>860.05322265625</v>
      </c>
      <c r="S429" s="5">
        <v>823.377685546875</v>
      </c>
      <c r="T429" s="5">
        <v>1006.6197152597118</v>
      </c>
      <c r="U429" s="5">
        <v>930.36089093069666</v>
      </c>
      <c r="V429" s="5">
        <v>812.98153062026006</v>
      </c>
      <c r="W429" s="5">
        <v>895.99605852170021</v>
      </c>
      <c r="X429" s="5">
        <v>856.69325280187229</v>
      </c>
      <c r="Y429" s="5">
        <v>690.74630175611401</v>
      </c>
    </row>
    <row r="430" spans="1:25">
      <c r="A430">
        <v>127</v>
      </c>
      <c r="B430">
        <v>7</v>
      </c>
      <c r="C430">
        <v>429</v>
      </c>
      <c r="D430">
        <v>67.760000000000005</v>
      </c>
      <c r="E430">
        <v>3.5039370078740162</v>
      </c>
      <c r="F430">
        <v>3370</v>
      </c>
      <c r="G430" s="35">
        <v>3384</v>
      </c>
      <c r="H430" s="5">
        <v>2858.899518447728</v>
      </c>
      <c r="I430" s="5">
        <v>2858.8997097471579</v>
      </c>
      <c r="J430" s="5">
        <v>2858.8530811119149</v>
      </c>
      <c r="K430" s="5">
        <v>3044.5147596058018</v>
      </c>
      <c r="L430" s="5">
        <v>3338.0548045743062</v>
      </c>
      <c r="M430" s="5">
        <v>3384</v>
      </c>
      <c r="N430" s="5">
        <v>3297.8826684562891</v>
      </c>
      <c r="O430" s="5">
        <v>3303.3144879567358</v>
      </c>
      <c r="P430">
        <v>3269.2584752113648</v>
      </c>
      <c r="Q430" s="5">
        <v>3000.1686036166639</v>
      </c>
      <c r="R430" s="5">
        <v>3388.8740234375</v>
      </c>
      <c r="S430" s="5">
        <v>3462.38720703125</v>
      </c>
      <c r="T430" s="5">
        <v>2534.2250869484933</v>
      </c>
      <c r="U430" s="5">
        <v>2513.5570547062166</v>
      </c>
      <c r="V430" s="5">
        <v>2227.2818762777788</v>
      </c>
      <c r="W430" s="5">
        <v>2262.5168900194417</v>
      </c>
      <c r="Y430" s="5">
        <v>1756.2629955779839</v>
      </c>
    </row>
    <row r="431" spans="1:25">
      <c r="A431">
        <v>108</v>
      </c>
      <c r="B431">
        <v>4.5</v>
      </c>
      <c r="C431">
        <v>259.7</v>
      </c>
      <c r="D431">
        <v>20.22</v>
      </c>
      <c r="E431">
        <v>6</v>
      </c>
      <c r="F431">
        <v>665</v>
      </c>
      <c r="G431" s="35">
        <v>740.2111311916899</v>
      </c>
      <c r="H431" s="5">
        <v>353.48381973890082</v>
      </c>
      <c r="I431" s="5">
        <v>353.48398279811408</v>
      </c>
      <c r="J431" s="5">
        <v>353.46126125888708</v>
      </c>
      <c r="K431" s="5">
        <v>711.98</v>
      </c>
      <c r="L431" s="5">
        <v>850.16656547764865</v>
      </c>
      <c r="M431" s="5">
        <v>809.34194174757283</v>
      </c>
      <c r="N431" s="5">
        <v>863.4294143803678</v>
      </c>
      <c r="O431" s="5">
        <v>808.48941142468504</v>
      </c>
      <c r="P431">
        <v>867.60162417297192</v>
      </c>
      <c r="Q431" s="5">
        <v>871.68036605603618</v>
      </c>
      <c r="R431" s="5">
        <v>785.287109375</v>
      </c>
      <c r="S431" s="5">
        <v>818.8759765625</v>
      </c>
      <c r="T431" s="5">
        <v>743.15839834546364</v>
      </c>
      <c r="U431" s="5">
        <v>771.2346086488003</v>
      </c>
      <c r="V431" s="5">
        <v>690.96196798571611</v>
      </c>
      <c r="W431" s="5">
        <v>663.91526564881508</v>
      </c>
    </row>
    <row r="432" spans="1:25">
      <c r="A432">
        <v>152</v>
      </c>
      <c r="B432">
        <v>1.7</v>
      </c>
      <c r="C432">
        <v>270</v>
      </c>
      <c r="D432">
        <v>73</v>
      </c>
      <c r="E432">
        <v>3.2894736842105261</v>
      </c>
      <c r="F432">
        <v>1448</v>
      </c>
      <c r="G432" s="35">
        <v>1634.564608412004</v>
      </c>
      <c r="H432" s="5">
        <v>1631.152389896841</v>
      </c>
      <c r="I432" s="5">
        <v>1631.152304541391</v>
      </c>
      <c r="J432" s="5">
        <v>1631.1725241393581</v>
      </c>
      <c r="K432" s="5">
        <v>1882.615626789931</v>
      </c>
      <c r="L432" s="5">
        <v>1772.620326249493</v>
      </c>
      <c r="M432" s="5">
        <v>1627.8299554354151</v>
      </c>
      <c r="N432" s="5">
        <v>1914.828891455428</v>
      </c>
      <c r="O432" s="5">
        <v>1864.500254225944</v>
      </c>
      <c r="P432">
        <v>1723.9652373726451</v>
      </c>
      <c r="Q432" s="5">
        <v>1699.197755032405</v>
      </c>
      <c r="R432" s="5">
        <v>1654.883056640625</v>
      </c>
      <c r="S432" s="5">
        <v>1841.909912109375</v>
      </c>
      <c r="T432" s="5">
        <v>1734.975826137967</v>
      </c>
      <c r="U432" s="5">
        <v>1617.1531779028137</v>
      </c>
      <c r="V432" s="5">
        <v>1337.4364695890597</v>
      </c>
    </row>
    <row r="433" spans="1:25">
      <c r="A433">
        <v>108</v>
      </c>
      <c r="B433">
        <v>10</v>
      </c>
      <c r="C433">
        <v>366.2</v>
      </c>
      <c r="D433">
        <v>78.800000000000011</v>
      </c>
      <c r="E433">
        <v>3</v>
      </c>
      <c r="F433">
        <v>2185</v>
      </c>
      <c r="G433" s="35">
        <v>2238.805098247477</v>
      </c>
      <c r="H433" s="5">
        <v>2828.6436648411868</v>
      </c>
      <c r="I433" s="5">
        <v>2828.644149417707</v>
      </c>
      <c r="J433" s="5">
        <v>2828.6044053338128</v>
      </c>
      <c r="K433" s="5">
        <v>2483.2222222222222</v>
      </c>
      <c r="L433" s="5">
        <v>2235.7452692307688</v>
      </c>
      <c r="M433" s="5">
        <v>2250.2815533980579</v>
      </c>
      <c r="N433" s="5">
        <v>2189.6607208923542</v>
      </c>
      <c r="O433" s="5">
        <v>2142.8644549234441</v>
      </c>
      <c r="P433">
        <v>2199.162156990355</v>
      </c>
      <c r="Q433" s="5">
        <v>2035.328901279154</v>
      </c>
      <c r="R433" s="5">
        <v>2239.870361328125</v>
      </c>
      <c r="S433" s="5">
        <v>2233.68798828125</v>
      </c>
      <c r="T433" s="5">
        <v>2261.2704127430197</v>
      </c>
      <c r="U433" s="5">
        <v>2305.7276944776663</v>
      </c>
      <c r="V433" s="5">
        <v>2047.4197616704596</v>
      </c>
    </row>
    <row r="434" spans="1:25">
      <c r="A434">
        <v>264.60000000000002</v>
      </c>
      <c r="B434">
        <v>4.55</v>
      </c>
      <c r="C434">
        <v>323.39999999999998</v>
      </c>
      <c r="D434">
        <v>21.9</v>
      </c>
      <c r="E434">
        <v>3.0687830687830679</v>
      </c>
      <c r="F434">
        <v>3579</v>
      </c>
      <c r="G434" s="35">
        <v>3443.5200120219661</v>
      </c>
      <c r="H434" s="5">
        <v>5378.0639417754373</v>
      </c>
      <c r="I434" s="5">
        <v>5378.0634869818168</v>
      </c>
      <c r="J434" s="5">
        <v>5378.1064644852031</v>
      </c>
      <c r="K434" s="5">
        <v>4387.6396569656172</v>
      </c>
      <c r="L434" s="5">
        <v>3642.7008295683499</v>
      </c>
      <c r="M434" s="5">
        <v>3503.3786407766988</v>
      </c>
      <c r="N434" s="5">
        <v>3960.8053205411252</v>
      </c>
      <c r="O434" s="5">
        <v>3996.610396582304</v>
      </c>
      <c r="P434">
        <v>3571.8026527926559</v>
      </c>
      <c r="Q434" s="5">
        <v>3382.226154227079</v>
      </c>
      <c r="R434" s="5">
        <v>3477.5</v>
      </c>
      <c r="S434" s="5">
        <v>3495.719970703125</v>
      </c>
      <c r="T434" s="5">
        <v>3096.2768052961414</v>
      </c>
      <c r="U434" s="5">
        <v>3070.3153255369052</v>
      </c>
      <c r="V434" s="5">
        <v>2697.1640626964559</v>
      </c>
      <c r="W434" s="5">
        <v>2433.4980255826376</v>
      </c>
      <c r="Y434" s="5">
        <v>2253.4006291295791</v>
      </c>
    </row>
    <row r="435" spans="1:25">
      <c r="A435">
        <v>151</v>
      </c>
      <c r="B435">
        <v>4</v>
      </c>
      <c r="C435">
        <v>438</v>
      </c>
      <c r="D435">
        <v>46.831412032875782</v>
      </c>
      <c r="E435">
        <v>3.311258278145695</v>
      </c>
      <c r="F435">
        <v>2727.6</v>
      </c>
      <c r="G435" s="35">
        <v>2743.1</v>
      </c>
      <c r="H435" s="5">
        <v>2417.8883754303879</v>
      </c>
      <c r="I435" s="5">
        <v>2417.8883825939079</v>
      </c>
      <c r="J435" s="5">
        <v>2417.8779698241842</v>
      </c>
      <c r="K435" s="5">
        <v>2156.3000000000002</v>
      </c>
      <c r="L435" s="5">
        <v>2465.1459534328142</v>
      </c>
      <c r="M435" s="5">
        <v>2743.0999999999899</v>
      </c>
      <c r="N435" s="5">
        <v>2271.507957009107</v>
      </c>
      <c r="O435" s="5">
        <v>2725.6090419460652</v>
      </c>
      <c r="P435">
        <v>2635.9272749377742</v>
      </c>
      <c r="Q435" s="5">
        <v>2241.1192077985879</v>
      </c>
      <c r="R435" s="5">
        <v>2747.824462890625</v>
      </c>
      <c r="S435" s="5">
        <v>2208.67138671875</v>
      </c>
      <c r="T435" s="5">
        <v>2059.4592425587907</v>
      </c>
      <c r="U435" s="5">
        <v>2062.8802141128945</v>
      </c>
      <c r="V435" s="5">
        <v>1810.7601044633384</v>
      </c>
      <c r="W435" s="5">
        <v>1901.5556408104012</v>
      </c>
      <c r="X435" s="5">
        <v>1854.5880904286851</v>
      </c>
      <c r="Y435" s="5">
        <v>1507.3129861983939</v>
      </c>
    </row>
    <row r="436" spans="1:25">
      <c r="A436">
        <v>114.3</v>
      </c>
      <c r="B436">
        <v>3.35</v>
      </c>
      <c r="C436">
        <v>287.33</v>
      </c>
      <c r="D436">
        <v>81.558969977179785</v>
      </c>
      <c r="E436">
        <v>7</v>
      </c>
      <c r="F436">
        <v>1198.3</v>
      </c>
      <c r="G436" s="35">
        <v>1173.8802613146411</v>
      </c>
      <c r="H436" s="5">
        <v>1433.236120814754</v>
      </c>
      <c r="I436" s="5">
        <v>1433.235837568079</v>
      </c>
      <c r="J436" s="5">
        <v>1433.1421403302979</v>
      </c>
      <c r="K436" s="5">
        <v>1338.074444444444</v>
      </c>
      <c r="L436" s="5">
        <v>1233.20223004425</v>
      </c>
      <c r="M436" s="5">
        <v>1178.8314401294531</v>
      </c>
      <c r="N436" s="5">
        <v>1104.0004555732139</v>
      </c>
      <c r="O436" s="5">
        <v>1128.321473724829</v>
      </c>
      <c r="P436">
        <v>1110.792887816938</v>
      </c>
      <c r="Q436" s="5">
        <v>1232.8332302832271</v>
      </c>
      <c r="R436" s="5">
        <v>1151.799072265625</v>
      </c>
      <c r="S436" s="5">
        <v>736.7447509765625</v>
      </c>
      <c r="T436" s="5">
        <v>1096.3830143234286</v>
      </c>
      <c r="U436" s="5">
        <v>1285.1511242068352</v>
      </c>
      <c r="V436" s="5">
        <v>1094.4376826512573</v>
      </c>
    </row>
    <row r="437" spans="1:25">
      <c r="A437">
        <v>200</v>
      </c>
      <c r="B437">
        <v>1.87</v>
      </c>
      <c r="C437">
        <v>282</v>
      </c>
      <c r="D437">
        <v>68.160000000000011</v>
      </c>
      <c r="E437">
        <v>3</v>
      </c>
      <c r="F437">
        <v>2824</v>
      </c>
      <c r="G437" s="35">
        <v>2783</v>
      </c>
      <c r="H437" s="5">
        <v>3057.5067414404598</v>
      </c>
      <c r="I437" s="5">
        <v>3057.5064622055961</v>
      </c>
      <c r="J437" s="5">
        <v>3057.5233574608819</v>
      </c>
      <c r="K437" s="5">
        <v>2894.1538461538462</v>
      </c>
      <c r="L437" s="5">
        <v>2721.842125764143</v>
      </c>
      <c r="M437" s="5">
        <v>2783</v>
      </c>
      <c r="N437" s="5">
        <v>2687.2189137283699</v>
      </c>
      <c r="O437" s="5">
        <v>2752.1884243848431</v>
      </c>
      <c r="P437">
        <v>2735.845222061741</v>
      </c>
      <c r="Q437" s="5">
        <v>2619.402182489122</v>
      </c>
      <c r="R437" s="5">
        <v>2766.901123046875</v>
      </c>
      <c r="S437" s="5">
        <v>2536.7548828125</v>
      </c>
      <c r="T437" s="5">
        <v>2649.1010509202088</v>
      </c>
      <c r="U437" s="5">
        <v>2593.7213411942189</v>
      </c>
      <c r="V437" s="5">
        <v>2141.3088841919916</v>
      </c>
      <c r="Y437" s="5">
        <v>2257.826558020256</v>
      </c>
    </row>
    <row r="438" spans="1:25">
      <c r="A438">
        <v>108</v>
      </c>
      <c r="B438">
        <v>5.5</v>
      </c>
      <c r="C438">
        <v>383.1</v>
      </c>
      <c r="D438">
        <v>86.4</v>
      </c>
      <c r="E438">
        <v>3</v>
      </c>
      <c r="F438">
        <v>1905</v>
      </c>
      <c r="G438" s="35">
        <v>1913.257834618764</v>
      </c>
      <c r="H438" s="5">
        <v>1933.3329440046409</v>
      </c>
      <c r="I438" s="5">
        <v>1933.333213849241</v>
      </c>
      <c r="J438" s="5">
        <v>1933.3042243898699</v>
      </c>
      <c r="K438" s="5">
        <v>1879.4145454545451</v>
      </c>
      <c r="L438" s="5">
        <v>1937.4755265837109</v>
      </c>
      <c r="M438" s="5">
        <v>1912.0420711974109</v>
      </c>
      <c r="N438" s="5">
        <v>1958.7317386429979</v>
      </c>
      <c r="O438" s="5">
        <v>1946.905484404155</v>
      </c>
      <c r="P438">
        <v>1950.6981563495669</v>
      </c>
      <c r="Q438" s="5">
        <v>1903.899009350087</v>
      </c>
      <c r="R438" s="5">
        <v>1959.155639648438</v>
      </c>
      <c r="S438" s="5">
        <v>1945.7083740234375</v>
      </c>
      <c r="T438" s="5">
        <v>1831.6984182787673</v>
      </c>
      <c r="U438" s="5">
        <v>1737.6464775606651</v>
      </c>
      <c r="V438" s="5">
        <v>1520.5904941039566</v>
      </c>
    </row>
    <row r="439" spans="1:25">
      <c r="A439">
        <v>210</v>
      </c>
      <c r="B439">
        <v>2.5</v>
      </c>
      <c r="C439">
        <v>237.2</v>
      </c>
      <c r="D439">
        <v>26.56</v>
      </c>
      <c r="E439">
        <v>3</v>
      </c>
      <c r="F439">
        <v>1637</v>
      </c>
      <c r="G439" s="35">
        <v>1625.21902564474</v>
      </c>
      <c r="H439" s="5">
        <v>2870.5758067511179</v>
      </c>
      <c r="I439" s="5">
        <v>2870.575636176648</v>
      </c>
      <c r="J439" s="5">
        <v>2870.6337964043232</v>
      </c>
      <c r="K439" s="5">
        <v>1458.7777777777781</v>
      </c>
      <c r="L439" s="5">
        <v>1689.6377291033721</v>
      </c>
      <c r="M439" s="5">
        <v>1625.619140111495</v>
      </c>
      <c r="N439" s="5">
        <v>1631.062271768174</v>
      </c>
      <c r="O439" s="5">
        <v>1426.2701499506629</v>
      </c>
      <c r="P439">
        <v>1484.4860552970949</v>
      </c>
      <c r="Q439" s="5">
        <v>1637</v>
      </c>
      <c r="R439" s="5">
        <v>1587.604858398438</v>
      </c>
      <c r="S439" s="5">
        <v>1731.3157958984375</v>
      </c>
      <c r="T439" s="5">
        <v>1537.2532839157423</v>
      </c>
      <c r="U439" s="5">
        <v>1502.8843613226134</v>
      </c>
      <c r="V439" s="5">
        <v>1280.2171230600436</v>
      </c>
      <c r="W439" s="5">
        <v>1256.4581650135876</v>
      </c>
      <c r="Y439" s="5">
        <v>1211.0561874170301</v>
      </c>
    </row>
    <row r="440" spans="1:25">
      <c r="A440">
        <v>166</v>
      </c>
      <c r="B440">
        <v>5</v>
      </c>
      <c r="C440">
        <v>274.39999999999998</v>
      </c>
      <c r="D440">
        <v>29.62</v>
      </c>
      <c r="E440">
        <v>3.012048192771084</v>
      </c>
      <c r="F440">
        <v>2043</v>
      </c>
      <c r="G440" s="35">
        <v>1999</v>
      </c>
      <c r="H440" s="5">
        <v>2304.2539327713821</v>
      </c>
      <c r="I440" s="5">
        <v>2304.254140228983</v>
      </c>
      <c r="J440" s="5">
        <v>2304.2922949447589</v>
      </c>
      <c r="K440" s="5">
        <v>1942.419159131789</v>
      </c>
      <c r="L440" s="5">
        <v>1955.5732790912921</v>
      </c>
      <c r="M440" s="5">
        <v>1992.854230516286</v>
      </c>
      <c r="N440" s="5">
        <v>1863.241859190774</v>
      </c>
      <c r="O440" s="5">
        <v>1905.5426363462291</v>
      </c>
      <c r="P440">
        <v>1922.104116265959</v>
      </c>
      <c r="Q440" s="5">
        <v>1791.1637674292961</v>
      </c>
      <c r="R440" s="5">
        <v>1989.345703125</v>
      </c>
      <c r="S440" s="5">
        <v>2045.3809814453125</v>
      </c>
      <c r="T440" s="5">
        <v>1783.2456944569999</v>
      </c>
      <c r="U440" s="5">
        <v>1690.3437290330673</v>
      </c>
      <c r="V440" s="5">
        <v>1489.3102909377585</v>
      </c>
      <c r="W440" s="5">
        <v>1541.9718731273672</v>
      </c>
      <c r="X440" s="5">
        <v>1585.937755978915</v>
      </c>
      <c r="Y440" s="5">
        <v>1224.6119322259731</v>
      </c>
    </row>
    <row r="441" spans="1:25">
      <c r="A441">
        <v>105</v>
      </c>
      <c r="B441">
        <v>2.5</v>
      </c>
      <c r="C441">
        <v>344</v>
      </c>
      <c r="D441">
        <v>35.65</v>
      </c>
      <c r="E441">
        <v>5.0476190476190466</v>
      </c>
      <c r="F441">
        <v>613</v>
      </c>
      <c r="G441" s="35">
        <v>656.06528854263195</v>
      </c>
      <c r="H441" s="5">
        <v>118.5271809357496</v>
      </c>
      <c r="I441" s="5">
        <v>118.52730499043039</v>
      </c>
      <c r="J441" s="5">
        <v>118.5237725612205</v>
      </c>
      <c r="K441" s="5">
        <v>796.52499999999998</v>
      </c>
      <c r="L441" s="5">
        <v>706.02189152049971</v>
      </c>
      <c r="M441" s="5">
        <v>706.59135347957135</v>
      </c>
      <c r="N441" s="5">
        <v>595.02003367891155</v>
      </c>
      <c r="O441" s="5">
        <v>635.45464933681421</v>
      </c>
      <c r="P441">
        <v>604.49584674678101</v>
      </c>
      <c r="Q441" s="5">
        <v>693.15428807253772</v>
      </c>
      <c r="R441" s="5">
        <v>664.9447021484375</v>
      </c>
      <c r="S441" s="5">
        <v>764.005859375</v>
      </c>
      <c r="T441" s="5">
        <v>735.74705929584002</v>
      </c>
      <c r="U441" s="5">
        <v>728.62330096177357</v>
      </c>
      <c r="V441" s="5">
        <v>637.98777138843388</v>
      </c>
      <c r="W441" s="5">
        <v>684.78759847581091</v>
      </c>
      <c r="X441" s="5">
        <v>615.73945521158316</v>
      </c>
      <c r="Y441" s="5">
        <v>531.7868068928617</v>
      </c>
    </row>
    <row r="442" spans="1:25">
      <c r="A442">
        <v>190</v>
      </c>
      <c r="B442">
        <v>1.52</v>
      </c>
      <c r="C442">
        <v>306.10000000000002</v>
      </c>
      <c r="D442">
        <v>48.3</v>
      </c>
      <c r="E442">
        <v>3.4973684210526321</v>
      </c>
      <c r="F442">
        <v>1694.8</v>
      </c>
      <c r="G442" s="35">
        <v>1695</v>
      </c>
      <c r="H442" s="5">
        <v>2465.846291744404</v>
      </c>
      <c r="I442" s="5">
        <v>2465.84605527146</v>
      </c>
      <c r="J442" s="5">
        <v>2465.8656968162959</v>
      </c>
      <c r="K442" s="5">
        <v>2117.428571428572</v>
      </c>
      <c r="L442" s="5">
        <v>1919.3643116389219</v>
      </c>
      <c r="M442" s="5">
        <v>1694.810956018925</v>
      </c>
      <c r="N442" s="5">
        <v>1754.3504020524599</v>
      </c>
      <c r="O442" s="5">
        <v>1733.067060837687</v>
      </c>
      <c r="P442">
        <v>1784.5503893151131</v>
      </c>
      <c r="Q442" s="5">
        <v>1999.8519246954861</v>
      </c>
      <c r="R442" s="5">
        <v>1694.639770507812</v>
      </c>
      <c r="S442" s="5">
        <v>2212.383056640625</v>
      </c>
      <c r="T442" s="5">
        <v>1876.5336427309448</v>
      </c>
      <c r="U442" s="5">
        <v>1772.2826485554724</v>
      </c>
      <c r="V442" s="5">
        <v>1473.5780441752106</v>
      </c>
      <c r="W442" s="5">
        <v>1519.8800362162167</v>
      </c>
      <c r="Y442" s="5">
        <v>1189.8502015485519</v>
      </c>
    </row>
    <row r="443" spans="1:25">
      <c r="A443">
        <v>108</v>
      </c>
      <c r="B443">
        <v>4.5</v>
      </c>
      <c r="C443">
        <v>358</v>
      </c>
      <c r="D443">
        <v>77.400000000000006</v>
      </c>
      <c r="E443">
        <v>3.5</v>
      </c>
      <c r="F443">
        <v>1578</v>
      </c>
      <c r="G443" s="35">
        <v>1526.5</v>
      </c>
      <c r="H443" s="5">
        <v>1359.277260253828</v>
      </c>
      <c r="I443" s="5">
        <v>1359.2774599486129</v>
      </c>
      <c r="J443" s="5">
        <v>1359.2657319099039</v>
      </c>
      <c r="K443" s="5">
        <v>1779.624444444444</v>
      </c>
      <c r="L443" s="5">
        <v>1546.1520743353881</v>
      </c>
      <c r="M443" s="5">
        <v>1527.448058252427</v>
      </c>
      <c r="N443" s="5">
        <v>1567.990562134743</v>
      </c>
      <c r="O443" s="5">
        <v>1548.1060562633199</v>
      </c>
      <c r="P443">
        <v>1630.645203022448</v>
      </c>
      <c r="Q443" s="5">
        <v>1612.8773510546459</v>
      </c>
      <c r="R443" s="5">
        <v>1528.046142578125</v>
      </c>
      <c r="S443" s="5">
        <v>1644.9434814453125</v>
      </c>
      <c r="T443" s="5">
        <v>1535.084110287165</v>
      </c>
      <c r="U443" s="5">
        <v>1444.396608324422</v>
      </c>
      <c r="V443" s="5">
        <v>1257.4918443101728</v>
      </c>
    </row>
    <row r="444" spans="1:25">
      <c r="A444">
        <v>140</v>
      </c>
      <c r="B444">
        <v>5</v>
      </c>
      <c r="C444">
        <v>378.28</v>
      </c>
      <c r="D444">
        <v>45.1</v>
      </c>
      <c r="E444">
        <v>6</v>
      </c>
      <c r="F444">
        <v>1685.6</v>
      </c>
      <c r="G444" s="35">
        <v>1667</v>
      </c>
      <c r="H444" s="5">
        <v>2304.694370053096</v>
      </c>
      <c r="I444" s="5">
        <v>2304.694206454009</v>
      </c>
      <c r="J444" s="5">
        <v>2304.622963231689</v>
      </c>
      <c r="K444" s="5">
        <v>1451</v>
      </c>
      <c r="L444" s="5">
        <v>1648.548224842534</v>
      </c>
      <c r="M444" s="5">
        <v>1664.7817845584841</v>
      </c>
      <c r="N444" s="5">
        <v>1684.1860104465859</v>
      </c>
      <c r="O444" s="5">
        <v>1668.535094914299</v>
      </c>
      <c r="P444">
        <v>1621.8373337824539</v>
      </c>
      <c r="Q444" s="5">
        <v>1668.115841746695</v>
      </c>
      <c r="R444" s="5">
        <v>1660.48095703125</v>
      </c>
      <c r="S444" s="5">
        <v>1647.250244140625</v>
      </c>
      <c r="T444" s="5">
        <v>1632.7827470943535</v>
      </c>
      <c r="U444" s="5">
        <v>1898.1398512113431</v>
      </c>
      <c r="V444" s="5">
        <v>1675.847679428246</v>
      </c>
      <c r="W444" s="5">
        <v>1742.981956451805</v>
      </c>
      <c r="X444" s="5">
        <v>1471.925750866417</v>
      </c>
      <c r="Y444" s="5">
        <v>1329.8204008196799</v>
      </c>
    </row>
    <row r="445" spans="1:25">
      <c r="A445">
        <v>90</v>
      </c>
      <c r="B445">
        <v>1.2</v>
      </c>
      <c r="C445">
        <v>328.95</v>
      </c>
      <c r="D445">
        <v>34.707976474137219</v>
      </c>
      <c r="E445">
        <v>3.333333333333333</v>
      </c>
      <c r="F445">
        <v>358.1</v>
      </c>
      <c r="G445" s="35">
        <v>360.5</v>
      </c>
      <c r="H445" s="5">
        <v>-821.27684637988477</v>
      </c>
      <c r="I445" s="5">
        <v>-821.27650627175217</v>
      </c>
      <c r="J445" s="5">
        <v>-821.2383556316945</v>
      </c>
      <c r="K445" s="5">
        <v>416.20199182545463</v>
      </c>
      <c r="L445" s="5">
        <v>362.39103816305942</v>
      </c>
      <c r="M445" s="5">
        <v>360.5</v>
      </c>
      <c r="N445" s="5">
        <v>355.93004523952669</v>
      </c>
      <c r="O445" s="5">
        <v>366.25213871643768</v>
      </c>
      <c r="P445">
        <v>368.76846327617397</v>
      </c>
      <c r="Q445" s="5">
        <v>362.8255378917753</v>
      </c>
      <c r="R445" s="5">
        <v>359.08059692382813</v>
      </c>
      <c r="S445" s="5">
        <v>346.03402709960938</v>
      </c>
      <c r="T445" s="5">
        <v>491.09158426126578</v>
      </c>
      <c r="U445" s="5">
        <v>387.58107486429151</v>
      </c>
      <c r="V445" s="5">
        <v>332.22559437003372</v>
      </c>
      <c r="W445" s="5">
        <v>342.41132441075229</v>
      </c>
      <c r="X445" s="5">
        <v>364.47031789837831</v>
      </c>
      <c r="Y445" s="5">
        <v>305.68739104851272</v>
      </c>
    </row>
    <row r="446" spans="1:25">
      <c r="A446">
        <v>130.1</v>
      </c>
      <c r="B446">
        <v>2.2999999999999998</v>
      </c>
      <c r="C446">
        <v>324.3</v>
      </c>
      <c r="D446">
        <v>42.7</v>
      </c>
      <c r="E446">
        <v>3.0438124519600311</v>
      </c>
      <c r="F446">
        <v>1240</v>
      </c>
      <c r="G446" s="35">
        <v>1041.9267037259881</v>
      </c>
      <c r="H446" s="5">
        <v>808.45670294613706</v>
      </c>
      <c r="I446" s="5">
        <v>808.45687089063631</v>
      </c>
      <c r="J446" s="5">
        <v>808.49811686057069</v>
      </c>
      <c r="K446" s="5">
        <v>1587.5</v>
      </c>
      <c r="L446" s="5">
        <v>1182.7536509844319</v>
      </c>
      <c r="M446" s="5">
        <v>1088.584466019418</v>
      </c>
      <c r="N446" s="5">
        <v>930.99480540690786</v>
      </c>
      <c r="O446" s="5">
        <v>983.67809565330185</v>
      </c>
      <c r="P446">
        <v>1054.6553587972289</v>
      </c>
      <c r="Q446" s="5">
        <v>995.93359627692712</v>
      </c>
      <c r="R446" s="5">
        <v>1029.93408203125</v>
      </c>
      <c r="S446" s="5">
        <v>974.79296875</v>
      </c>
      <c r="T446" s="5">
        <v>1113.7169732219934</v>
      </c>
      <c r="U446" s="5">
        <v>1013.3521288237813</v>
      </c>
      <c r="V446" s="5">
        <v>870.66439230821743</v>
      </c>
      <c r="W446" s="5">
        <v>870.01614998566401</v>
      </c>
      <c r="X446" s="5">
        <v>957.20156708882701</v>
      </c>
      <c r="Y446" s="5">
        <v>794.44968424765739</v>
      </c>
    </row>
    <row r="447" spans="1:25">
      <c r="A447">
        <v>100</v>
      </c>
      <c r="B447">
        <v>3</v>
      </c>
      <c r="C447">
        <v>426.3</v>
      </c>
      <c r="D447">
        <v>35.17</v>
      </c>
      <c r="E447">
        <v>3</v>
      </c>
      <c r="F447">
        <v>777</v>
      </c>
      <c r="G447" s="35">
        <v>722.33435486008341</v>
      </c>
      <c r="H447" s="5">
        <v>294.79652675579109</v>
      </c>
      <c r="I447" s="5">
        <v>294.79686199289608</v>
      </c>
      <c r="J447" s="5">
        <v>294.80551524858078</v>
      </c>
      <c r="K447" s="5">
        <v>701.18571428571431</v>
      </c>
      <c r="L447" s="5">
        <v>744.83350845289954</v>
      </c>
      <c r="M447" s="5">
        <v>728.70767530534113</v>
      </c>
      <c r="N447" s="5">
        <v>732.79937312806169</v>
      </c>
      <c r="O447" s="5">
        <v>761.26475953586157</v>
      </c>
      <c r="P447">
        <v>800.27727146441964</v>
      </c>
      <c r="Q447" s="5">
        <v>785.12729750046446</v>
      </c>
      <c r="R447" s="5">
        <v>769.9896240234375</v>
      </c>
      <c r="S447" s="5">
        <v>795.023681640625</v>
      </c>
      <c r="T447" s="5">
        <v>929.33205732873648</v>
      </c>
      <c r="U447" s="5">
        <v>875.42639451388197</v>
      </c>
      <c r="V447" s="5">
        <v>777.31138124767381</v>
      </c>
      <c r="W447" s="5">
        <v>785.65183931540355</v>
      </c>
      <c r="X447" s="5">
        <v>796.12751452002442</v>
      </c>
      <c r="Y447" s="5">
        <v>616.70715415494442</v>
      </c>
    </row>
    <row r="448" spans="1:25">
      <c r="A448">
        <v>166</v>
      </c>
      <c r="B448">
        <v>5</v>
      </c>
      <c r="C448">
        <v>274.58620000000002</v>
      </c>
      <c r="D448">
        <v>26.046462399999999</v>
      </c>
      <c r="E448">
        <v>3.975903614457831</v>
      </c>
      <c r="F448">
        <v>1696.5504549545301</v>
      </c>
      <c r="G448" s="35">
        <v>1745.5837050977241</v>
      </c>
      <c r="H448" s="5">
        <v>2318.4048298703851</v>
      </c>
      <c r="I448" s="5">
        <v>2318.4048937390739</v>
      </c>
      <c r="J448" s="5">
        <v>2318.422846606637</v>
      </c>
      <c r="K448" s="5">
        <v>1847.9302329644661</v>
      </c>
      <c r="L448" s="5">
        <v>1812.289980876335</v>
      </c>
      <c r="M448" s="5">
        <v>1759.7041936972</v>
      </c>
      <c r="N448" s="5">
        <v>1748.068083739224</v>
      </c>
      <c r="O448" s="5">
        <v>1834.172078891859</v>
      </c>
      <c r="P448">
        <v>1838.26507230577</v>
      </c>
      <c r="Q448" s="5">
        <v>1770.1919205589711</v>
      </c>
      <c r="R448" s="5">
        <v>1751.935180664062</v>
      </c>
      <c r="S448" s="5">
        <v>1896.6163330078125</v>
      </c>
      <c r="T448" s="5">
        <v>1768.6368561346324</v>
      </c>
      <c r="U448" s="5">
        <v>1622.803950120933</v>
      </c>
      <c r="V448" s="5">
        <v>1435.3714560525693</v>
      </c>
      <c r="W448" s="5">
        <v>1455.3792924595957</v>
      </c>
      <c r="Y448" s="5">
        <v>1155.975808720603</v>
      </c>
    </row>
    <row r="449" spans="1:25">
      <c r="A449">
        <v>134.1</v>
      </c>
      <c r="B449">
        <v>6.2</v>
      </c>
      <c r="C449">
        <v>235</v>
      </c>
      <c r="D449">
        <v>26.6</v>
      </c>
      <c r="E449">
        <v>1.968680089485459</v>
      </c>
      <c r="F449">
        <v>1006</v>
      </c>
      <c r="G449" s="35">
        <v>1293.8964192448309</v>
      </c>
      <c r="H449" s="5">
        <v>1331.7479530373189</v>
      </c>
      <c r="I449" s="5">
        <v>1331.7485971539591</v>
      </c>
      <c r="J449" s="5">
        <v>1331.8188237956731</v>
      </c>
      <c r="K449" s="5">
        <v>2469.504230798037</v>
      </c>
      <c r="L449" s="5">
        <v>2554.636089829306</v>
      </c>
      <c r="M449" s="5">
        <v>1687.2244153486361</v>
      </c>
      <c r="N449" s="5">
        <v>1314.068533239873</v>
      </c>
      <c r="O449" s="5">
        <v>1409.731414463972</v>
      </c>
      <c r="P449">
        <v>1261.7108393943081</v>
      </c>
      <c r="Q449" s="5">
        <v>1060.9274857169421</v>
      </c>
      <c r="R449" s="5">
        <v>1417.722290039062</v>
      </c>
      <c r="S449" s="5">
        <v>1970.368896484375</v>
      </c>
      <c r="T449" s="5">
        <v>1593.2266176306971</v>
      </c>
      <c r="U449" s="5">
        <v>1257.8305666221831</v>
      </c>
      <c r="V449" s="5">
        <v>1119.5560918160522</v>
      </c>
      <c r="W449" s="5">
        <v>1120.1573114317316</v>
      </c>
      <c r="Y449" s="5">
        <v>877.5708771847228</v>
      </c>
    </row>
    <row r="450" spans="1:25">
      <c r="A450">
        <v>337</v>
      </c>
      <c r="B450">
        <v>6.47</v>
      </c>
      <c r="C450">
        <v>823</v>
      </c>
      <c r="D450">
        <v>41.1</v>
      </c>
      <c r="E450">
        <v>3</v>
      </c>
      <c r="F450">
        <v>9668</v>
      </c>
      <c r="G450" s="35">
        <v>9835</v>
      </c>
      <c r="H450" s="5">
        <v>10074.76362623593</v>
      </c>
      <c r="I450" s="5">
        <v>10074.76243848812</v>
      </c>
      <c r="J450" s="5">
        <v>10074.62460028132</v>
      </c>
      <c r="K450" s="5">
        <v>8000.545454545455</v>
      </c>
      <c r="L450" s="5">
        <v>9152.3302244290735</v>
      </c>
      <c r="M450" s="5">
        <v>9835</v>
      </c>
      <c r="N450" s="5">
        <v>9805.0210169086204</v>
      </c>
      <c r="O450" s="5">
        <v>10005.894590915361</v>
      </c>
      <c r="P450">
        <v>9863.2041633828849</v>
      </c>
      <c r="Q450" s="5">
        <v>8689.1274347592716</v>
      </c>
      <c r="R450" s="5">
        <v>9842.35546875</v>
      </c>
      <c r="S450" s="5">
        <v>9767.0927734375</v>
      </c>
      <c r="T450" s="5">
        <v>10034.838780922535</v>
      </c>
      <c r="U450" s="5">
        <v>11794.300004110828</v>
      </c>
      <c r="V450" s="5">
        <v>10983.404536993812</v>
      </c>
      <c r="W450" s="5">
        <v>9530.1669790465312</v>
      </c>
    </row>
    <row r="451" spans="1:25">
      <c r="A451">
        <v>96</v>
      </c>
      <c r="B451">
        <v>5</v>
      </c>
      <c r="C451">
        <v>410.89863500000001</v>
      </c>
      <c r="D451">
        <v>38.255741649999997</v>
      </c>
      <c r="E451">
        <v>4.166666666666667</v>
      </c>
      <c r="F451">
        <v>1176.7980034366681</v>
      </c>
      <c r="G451" s="35">
        <v>1073.8281781359599</v>
      </c>
      <c r="H451" s="5">
        <v>790.45671553763964</v>
      </c>
      <c r="I451" s="5">
        <v>790.45702821395707</v>
      </c>
      <c r="J451" s="5">
        <v>790.42324546138752</v>
      </c>
      <c r="K451" s="5">
        <v>1072.715969949254</v>
      </c>
      <c r="L451" s="5">
        <v>1084.078309333478</v>
      </c>
      <c r="M451" s="5">
        <v>1075.3999331005591</v>
      </c>
      <c r="N451" s="5">
        <v>1084.399278023096</v>
      </c>
      <c r="O451" s="5">
        <v>1119.0948260945461</v>
      </c>
      <c r="P451">
        <v>1119.1836382885899</v>
      </c>
      <c r="Q451" s="5">
        <v>1042.5842313323051</v>
      </c>
      <c r="R451" s="5">
        <v>1078.031005859375</v>
      </c>
      <c r="S451" s="5">
        <v>1085.6165771484375</v>
      </c>
      <c r="T451" s="5">
        <v>1159.4044572731516</v>
      </c>
      <c r="U451" s="5">
        <v>1173.7249340525675</v>
      </c>
      <c r="V451" s="5">
        <v>1051.7459257754322</v>
      </c>
      <c r="W451" s="5">
        <v>1013.6562992831724</v>
      </c>
      <c r="X451" s="5">
        <v>962.23973986070666</v>
      </c>
      <c r="Y451" s="5">
        <v>786.75952457634367</v>
      </c>
    </row>
    <row r="452" spans="1:25">
      <c r="A452">
        <v>168.3</v>
      </c>
      <c r="B452">
        <v>2.8</v>
      </c>
      <c r="C452">
        <v>317.8</v>
      </c>
      <c r="D452">
        <v>93.74</v>
      </c>
      <c r="E452">
        <v>1.7825311942958999</v>
      </c>
      <c r="F452">
        <v>2375.6999999999998</v>
      </c>
      <c r="G452" s="35">
        <v>2098.3346447236918</v>
      </c>
      <c r="H452" s="5">
        <v>2935.549516010879</v>
      </c>
      <c r="I452" s="5">
        <v>2935.5494761027639</v>
      </c>
      <c r="J452" s="5">
        <v>2935.5797498864231</v>
      </c>
      <c r="K452" s="5">
        <v>2013.0571428571429</v>
      </c>
      <c r="L452" s="5">
        <v>2122.341428489302</v>
      </c>
      <c r="M452" s="5">
        <v>2047.215041713242</v>
      </c>
      <c r="N452" s="5">
        <v>2106.743720817215</v>
      </c>
      <c r="O452" s="5">
        <v>1955.6802283557611</v>
      </c>
      <c r="P452">
        <v>1949.780805283616</v>
      </c>
      <c r="Q452" s="5">
        <v>2033.920085886198</v>
      </c>
      <c r="R452" s="5">
        <v>2001.0712890625</v>
      </c>
      <c r="S452" s="5">
        <v>2613.76025390625</v>
      </c>
      <c r="T452" s="5">
        <v>2737.3370128646552</v>
      </c>
      <c r="U452" s="5">
        <v>2698.4071837908855</v>
      </c>
      <c r="V452" s="5">
        <v>2251.4993468845446</v>
      </c>
    </row>
    <row r="453" spans="1:25">
      <c r="A453">
        <v>121</v>
      </c>
      <c r="B453">
        <v>12</v>
      </c>
      <c r="C453">
        <v>294.1995</v>
      </c>
      <c r="D453">
        <v>13.0232312</v>
      </c>
      <c r="E453">
        <v>1.6528925619834709</v>
      </c>
      <c r="F453">
        <v>2745.8620080188921</v>
      </c>
      <c r="G453" s="35">
        <v>2843.928508305281</v>
      </c>
      <c r="H453" s="5">
        <v>2362.0698354496758</v>
      </c>
      <c r="I453" s="5">
        <v>2362.0708980923359</v>
      </c>
      <c r="J453" s="5">
        <v>2362.105109600539</v>
      </c>
      <c r="K453" s="5">
        <v>2469.504230798037</v>
      </c>
      <c r="L453" s="5">
        <v>2745.3388438780898</v>
      </c>
      <c r="M453" s="5">
        <v>2843.928508305275</v>
      </c>
      <c r="N453" s="5">
        <v>2680.3174924401078</v>
      </c>
      <c r="O453" s="5">
        <v>2861.801040828354</v>
      </c>
      <c r="P453">
        <v>2911.3727897887552</v>
      </c>
      <c r="Q453" s="5">
        <v>2495.9942679348042</v>
      </c>
      <c r="R453" s="5">
        <v>2845.178466796875</v>
      </c>
      <c r="S453" s="5">
        <v>2782.683349609375</v>
      </c>
      <c r="T453" s="5">
        <v>2688.1864491306142</v>
      </c>
      <c r="U453" s="5">
        <v>2054.6985704759595</v>
      </c>
      <c r="V453" s="5">
        <v>1858.5382870664271</v>
      </c>
      <c r="W453" s="5">
        <v>1478.9412183080824</v>
      </c>
    </row>
    <row r="454" spans="1:25">
      <c r="A454">
        <v>127</v>
      </c>
      <c r="B454">
        <v>7</v>
      </c>
      <c r="C454">
        <v>429</v>
      </c>
      <c r="D454">
        <v>106.02</v>
      </c>
      <c r="E454">
        <v>3.5039370078740162</v>
      </c>
      <c r="F454">
        <v>3404</v>
      </c>
      <c r="G454" s="35">
        <v>3370</v>
      </c>
      <c r="H454" s="5">
        <v>3472.8259522730618</v>
      </c>
      <c r="I454" s="5">
        <v>3472.826006685098</v>
      </c>
      <c r="J454" s="5">
        <v>3472.7470090991242</v>
      </c>
      <c r="K454" s="5">
        <v>4480</v>
      </c>
      <c r="L454" s="5">
        <v>3428.583596428547</v>
      </c>
      <c r="M454" s="5">
        <v>3370</v>
      </c>
      <c r="N454" s="5">
        <v>3378.6202823345438</v>
      </c>
      <c r="O454" s="5">
        <v>3398.3600446507721</v>
      </c>
      <c r="P454">
        <v>3258.4084072022201</v>
      </c>
      <c r="Q454" s="5">
        <v>3001.0234144928449</v>
      </c>
      <c r="R454" s="5">
        <v>3360.22265625</v>
      </c>
      <c r="S454" s="5">
        <v>3163.276611328125</v>
      </c>
      <c r="T454" s="5">
        <v>2951.4614092775601</v>
      </c>
      <c r="U454" s="5">
        <v>2693.478217968272</v>
      </c>
      <c r="V454" s="5">
        <v>2534.2418302126798</v>
      </c>
    </row>
    <row r="455" spans="1:25">
      <c r="A455">
        <v>200</v>
      </c>
      <c r="B455">
        <v>6</v>
      </c>
      <c r="C455">
        <v>451</v>
      </c>
      <c r="D455">
        <v>112.1</v>
      </c>
      <c r="E455">
        <v>3.4750000000000001</v>
      </c>
      <c r="F455">
        <v>5099</v>
      </c>
      <c r="G455" s="35">
        <v>5040</v>
      </c>
      <c r="H455" s="5">
        <v>5614.271205100622</v>
      </c>
      <c r="I455" s="5">
        <v>5614.2707040445057</v>
      </c>
      <c r="J455" s="5">
        <v>5614.174778149647</v>
      </c>
      <c r="K455" s="5">
        <v>4307.8068658047532</v>
      </c>
      <c r="L455" s="5">
        <v>4885.6761235977247</v>
      </c>
      <c r="M455" s="5">
        <v>5040</v>
      </c>
      <c r="N455" s="5">
        <v>5135.9866663319617</v>
      </c>
      <c r="O455" s="5">
        <v>5169.1597561741592</v>
      </c>
      <c r="P455">
        <v>5146.0166209712697</v>
      </c>
      <c r="Q455" s="5">
        <v>4648.555191678357</v>
      </c>
      <c r="R455" s="5">
        <v>5044.25732421875</v>
      </c>
      <c r="S455" s="5">
        <v>5169.49267578125</v>
      </c>
      <c r="T455" s="5">
        <v>5517.9054613249518</v>
      </c>
      <c r="U455" s="5">
        <v>5486.6777181768075</v>
      </c>
      <c r="V455" s="5">
        <v>4952.5501130013299</v>
      </c>
    </row>
    <row r="456" spans="1:25">
      <c r="A456">
        <v>60</v>
      </c>
      <c r="B456">
        <v>3.5</v>
      </c>
      <c r="C456">
        <v>223</v>
      </c>
      <c r="D456">
        <v>33.200000000000003</v>
      </c>
      <c r="E456">
        <v>4</v>
      </c>
      <c r="F456">
        <v>334</v>
      </c>
      <c r="G456" s="35">
        <v>473.40695249901262</v>
      </c>
      <c r="H456" s="5">
        <v>-1533.4644211826219</v>
      </c>
      <c r="I456" s="5">
        <v>-1533.4637492843849</v>
      </c>
      <c r="J456" s="5">
        <v>-1533.4183836644179</v>
      </c>
      <c r="K456" s="5">
        <v>767.57145591132382</v>
      </c>
      <c r="L456" s="5">
        <v>460.82464896882988</v>
      </c>
      <c r="M456" s="5">
        <v>326.49862263007259</v>
      </c>
      <c r="N456" s="5">
        <v>323.33544790328932</v>
      </c>
      <c r="O456" s="5">
        <v>310.13042369661929</v>
      </c>
      <c r="P456">
        <v>256.22055977917643</v>
      </c>
      <c r="Q456" s="5">
        <v>273</v>
      </c>
      <c r="R456" s="5">
        <v>270.04534912109381</v>
      </c>
      <c r="S456" s="5">
        <v>63.399288177490234</v>
      </c>
      <c r="T456" s="5">
        <v>360.06335980177687</v>
      </c>
      <c r="U456" s="5">
        <v>297.67804618323902</v>
      </c>
      <c r="V456" s="5">
        <v>264.50717286374555</v>
      </c>
      <c r="W456" s="5">
        <v>266.75493462997952</v>
      </c>
      <c r="Y456" s="5">
        <v>206.3424753659767</v>
      </c>
    </row>
    <row r="457" spans="1:25">
      <c r="A457">
        <v>469</v>
      </c>
      <c r="B457">
        <v>4.66</v>
      </c>
      <c r="C457">
        <v>291</v>
      </c>
      <c r="D457">
        <v>73.2</v>
      </c>
      <c r="E457">
        <v>2</v>
      </c>
      <c r="F457">
        <v>15827</v>
      </c>
      <c r="G457" s="35">
        <v>15954.5</v>
      </c>
      <c r="H457" s="5">
        <v>12470.10756231234</v>
      </c>
      <c r="I457" s="5">
        <v>12470.10591496127</v>
      </c>
      <c r="J457" s="5">
        <v>12470.056423444081</v>
      </c>
      <c r="K457" s="5">
        <v>22819.166666666672</v>
      </c>
      <c r="L457" s="5">
        <v>15910.972932692321</v>
      </c>
      <c r="M457" s="5">
        <v>15954.5</v>
      </c>
      <c r="N457" s="5">
        <v>14199.459642322599</v>
      </c>
      <c r="O457" s="5">
        <v>15945.589396285061</v>
      </c>
      <c r="P457">
        <v>15737.20440288936</v>
      </c>
      <c r="Q457" s="5">
        <v>15701.802580256561</v>
      </c>
      <c r="R457" s="5">
        <v>15947.787109375</v>
      </c>
      <c r="S457" s="5">
        <v>15774.9189453125</v>
      </c>
      <c r="T457" s="5">
        <v>14995.994891686987</v>
      </c>
      <c r="U457" s="5">
        <v>15352.851622542092</v>
      </c>
      <c r="V457" s="5">
        <v>12681.79427487762</v>
      </c>
    </row>
    <row r="458" spans="1:25">
      <c r="A458">
        <v>95.5</v>
      </c>
      <c r="B458">
        <v>3.75</v>
      </c>
      <c r="C458">
        <v>281.45085499999999</v>
      </c>
      <c r="D458">
        <v>34.999933849999998</v>
      </c>
      <c r="E458">
        <v>5.2748691099476437</v>
      </c>
      <c r="F458">
        <v>632.52892684720905</v>
      </c>
      <c r="G458" s="35">
        <v>717.76288893172921</v>
      </c>
      <c r="H458" s="5">
        <v>19.979097252241441</v>
      </c>
      <c r="I458" s="5">
        <v>19.97932458924879</v>
      </c>
      <c r="J458" s="5">
        <v>19.963420757467699</v>
      </c>
      <c r="K458" s="5">
        <v>711.98</v>
      </c>
      <c r="L458" s="5">
        <v>715.80090648346049</v>
      </c>
      <c r="M458" s="5">
        <v>728.92348630163099</v>
      </c>
      <c r="N458" s="5">
        <v>691.84973371334081</v>
      </c>
      <c r="O458" s="5">
        <v>772.77726664500881</v>
      </c>
      <c r="P458">
        <v>607.38995154886868</v>
      </c>
      <c r="Q458" s="5">
        <v>753.3545412312692</v>
      </c>
      <c r="R458" s="5">
        <v>604.7584228515625</v>
      </c>
      <c r="S458" s="5">
        <v>676.64013671875</v>
      </c>
      <c r="T458" s="5">
        <v>730.70679730446784</v>
      </c>
      <c r="U458" s="5">
        <v>705.71261232321683</v>
      </c>
      <c r="V458" s="5">
        <v>623.97517780189696</v>
      </c>
      <c r="W458" s="5">
        <v>653.78634562336447</v>
      </c>
      <c r="X458" s="5">
        <v>585.18659851151972</v>
      </c>
      <c r="Y458" s="5">
        <v>497.37946736307731</v>
      </c>
    </row>
    <row r="459" spans="1:25">
      <c r="A459">
        <v>166</v>
      </c>
      <c r="B459">
        <v>5</v>
      </c>
      <c r="C459">
        <v>274.60000000000002</v>
      </c>
      <c r="D459">
        <v>18.720078217418219</v>
      </c>
      <c r="E459">
        <v>3.975903614457831</v>
      </c>
      <c r="F459">
        <v>2030</v>
      </c>
      <c r="G459" s="35">
        <v>1848.666666666667</v>
      </c>
      <c r="H459" s="5">
        <v>2182.3735648634702</v>
      </c>
      <c r="I459" s="5">
        <v>2182.373689028032</v>
      </c>
      <c r="J459" s="5">
        <v>2182.396597889714</v>
      </c>
      <c r="K459" s="5">
        <v>1845.017711946015</v>
      </c>
      <c r="L459" s="5">
        <v>1884.542898785623</v>
      </c>
      <c r="M459" s="5">
        <v>1882.6813010457911</v>
      </c>
      <c r="N459" s="5">
        <v>1908.110309459086</v>
      </c>
      <c r="O459" s="5">
        <v>1888.866111901046</v>
      </c>
      <c r="P459">
        <v>1887.7301229818911</v>
      </c>
      <c r="Q459" s="5">
        <v>1769.399220765813</v>
      </c>
      <c r="R459" s="5">
        <v>1881.509521484375</v>
      </c>
      <c r="S459" s="5">
        <v>1871.91259765625</v>
      </c>
      <c r="T459" s="5">
        <v>1679.9889098782562</v>
      </c>
      <c r="U459" s="5">
        <v>1482.8280124552666</v>
      </c>
      <c r="V459" s="5">
        <v>1323.3975976374068</v>
      </c>
      <c r="W459" s="5">
        <v>1267.3536181476302</v>
      </c>
    </row>
    <row r="460" spans="1:25">
      <c r="A460">
        <v>157</v>
      </c>
      <c r="B460">
        <v>2.48</v>
      </c>
      <c r="C460">
        <v>326</v>
      </c>
      <c r="D460">
        <v>73.2</v>
      </c>
      <c r="E460">
        <v>2</v>
      </c>
      <c r="F460">
        <v>2117</v>
      </c>
      <c r="G460" s="35">
        <v>2111.6372437411578</v>
      </c>
      <c r="H460" s="5">
        <v>2116.3342639784169</v>
      </c>
      <c r="I460" s="5">
        <v>2116.334286576367</v>
      </c>
      <c r="J460" s="5">
        <v>2116.3703869143769</v>
      </c>
      <c r="K460" s="5">
        <v>2224.7450113846148</v>
      </c>
      <c r="L460" s="5">
        <v>2008.117843098267</v>
      </c>
      <c r="M460" s="5">
        <v>1970.9787890605039</v>
      </c>
      <c r="N460" s="5">
        <v>2062.5653834857039</v>
      </c>
      <c r="O460" s="5">
        <v>1916.433146607395</v>
      </c>
      <c r="P460">
        <v>1935.254683483121</v>
      </c>
      <c r="Q460" s="5">
        <v>1919.8861771964</v>
      </c>
      <c r="R460" s="5">
        <v>1758.617797851562</v>
      </c>
      <c r="S460" s="5">
        <v>2014.123291015625</v>
      </c>
      <c r="T460" s="5">
        <v>2067.261023660541</v>
      </c>
      <c r="U460" s="5">
        <v>1964.7721870344099</v>
      </c>
      <c r="V460" s="5">
        <v>1650.5884883877275</v>
      </c>
    </row>
    <row r="461" spans="1:25">
      <c r="A461">
        <v>115.9</v>
      </c>
      <c r="B461">
        <v>4.9000000000000004</v>
      </c>
      <c r="C461">
        <v>309.5</v>
      </c>
      <c r="D461">
        <v>42.7</v>
      </c>
      <c r="E461">
        <v>2.933563416738568</v>
      </c>
      <c r="F461">
        <v>1102</v>
      </c>
      <c r="G461" s="35">
        <v>1200.2574257425749</v>
      </c>
      <c r="H461" s="5">
        <v>960.31254781796724</v>
      </c>
      <c r="I461" s="5">
        <v>960.31297560420217</v>
      </c>
      <c r="J461" s="5">
        <v>960.35467704496364</v>
      </c>
      <c r="K461" s="5">
        <v>1209.925</v>
      </c>
      <c r="L461" s="5">
        <v>1188.786274126237</v>
      </c>
      <c r="M461" s="5">
        <v>1221.0876757137089</v>
      </c>
      <c r="N461" s="5">
        <v>1164.568568821587</v>
      </c>
      <c r="O461" s="5">
        <v>1096.7614577593199</v>
      </c>
      <c r="P461">
        <v>1090.2875402066841</v>
      </c>
      <c r="Q461" s="5">
        <v>1288.891072080283</v>
      </c>
      <c r="R461" s="5">
        <v>1144.00732421875</v>
      </c>
      <c r="S461" s="5">
        <v>1148.7210693359375</v>
      </c>
      <c r="T461" s="5">
        <v>1292.8432327908256</v>
      </c>
      <c r="U461" s="5">
        <v>1234.2586730817241</v>
      </c>
      <c r="V461" s="5">
        <v>1090.2781856712563</v>
      </c>
      <c r="W461" s="5">
        <v>1140.9698577749632</v>
      </c>
      <c r="X461" s="5">
        <v>1134.0422723777369</v>
      </c>
      <c r="Y461" s="5">
        <v>881.99286523733963</v>
      </c>
    </row>
    <row r="462" spans="1:25">
      <c r="A462">
        <v>108</v>
      </c>
      <c r="B462">
        <v>5</v>
      </c>
      <c r="C462">
        <v>379.8</v>
      </c>
      <c r="D462">
        <v>33.5</v>
      </c>
      <c r="E462">
        <v>5.0740740740740744</v>
      </c>
      <c r="F462">
        <v>1084</v>
      </c>
      <c r="G462" s="35">
        <v>882.56051292926861</v>
      </c>
      <c r="H462" s="5">
        <v>1013.151955507666</v>
      </c>
      <c r="I462" s="5">
        <v>1013.152139971214</v>
      </c>
      <c r="J462" s="5">
        <v>1013.120312153834</v>
      </c>
      <c r="K462" s="5">
        <v>1365.263636363637</v>
      </c>
      <c r="L462" s="5">
        <v>1086.443748262189</v>
      </c>
      <c r="M462" s="5">
        <v>1099.987887317681</v>
      </c>
      <c r="N462" s="5">
        <v>1168.803704171708</v>
      </c>
      <c r="O462" s="5">
        <v>1123.213193632298</v>
      </c>
      <c r="P462">
        <v>1060.730624885543</v>
      </c>
      <c r="Q462" s="5">
        <v>1347.683275462437</v>
      </c>
      <c r="R462" s="5">
        <v>1301.52294921875</v>
      </c>
      <c r="S462" s="5">
        <v>978.5716552734375</v>
      </c>
      <c r="T462" s="5">
        <v>1167.6246847321984</v>
      </c>
      <c r="U462" s="5">
        <v>1248.156771890523</v>
      </c>
      <c r="V462" s="5">
        <v>1117.4287907202715</v>
      </c>
      <c r="W462" s="5">
        <v>1082.7841502961057</v>
      </c>
      <c r="X462" s="5">
        <v>986.51136912209881</v>
      </c>
      <c r="Y462" s="5">
        <v>837.52180874409942</v>
      </c>
    </row>
    <row r="463" spans="1:25">
      <c r="A463">
        <v>92</v>
      </c>
      <c r="B463">
        <v>3</v>
      </c>
      <c r="C463">
        <v>260.7</v>
      </c>
      <c r="D463">
        <v>23.37</v>
      </c>
      <c r="E463">
        <v>3</v>
      </c>
      <c r="F463">
        <v>538</v>
      </c>
      <c r="G463" s="35">
        <v>573.32122174481572</v>
      </c>
      <c r="H463" s="5">
        <v>-761.64350286243007</v>
      </c>
      <c r="I463" s="5">
        <v>-761.64295089328334</v>
      </c>
      <c r="J463" s="5">
        <v>-761.57023098305581</v>
      </c>
      <c r="K463" s="5">
        <v>575.92307692307691</v>
      </c>
      <c r="L463" s="5">
        <v>566.79160318522702</v>
      </c>
      <c r="M463" s="5">
        <v>553.14172618210625</v>
      </c>
      <c r="N463" s="5">
        <v>509.68380358214318</v>
      </c>
      <c r="O463" s="5">
        <v>526.18338565686452</v>
      </c>
      <c r="P463">
        <v>555.82792082939864</v>
      </c>
      <c r="Q463" s="5">
        <v>592.49434655588811</v>
      </c>
      <c r="R463" s="5">
        <v>571.6827392578125</v>
      </c>
      <c r="S463" s="5">
        <v>582.4029541015625</v>
      </c>
      <c r="T463" s="5">
        <v>606.80321992650988</v>
      </c>
      <c r="U463" s="5">
        <v>490.00774016155168</v>
      </c>
      <c r="V463" s="5">
        <v>435.0598075593893</v>
      </c>
      <c r="W463" s="5">
        <v>442.24096296000477</v>
      </c>
      <c r="Y463" s="5">
        <v>345.84489363594048</v>
      </c>
    </row>
    <row r="464" spans="1:25">
      <c r="A464">
        <v>127</v>
      </c>
      <c r="B464">
        <v>7</v>
      </c>
      <c r="C464">
        <v>429</v>
      </c>
      <c r="D464">
        <v>67.760000000000005</v>
      </c>
      <c r="E464">
        <v>3.5039370078740162</v>
      </c>
      <c r="F464">
        <v>3364</v>
      </c>
      <c r="G464" s="35">
        <v>3387</v>
      </c>
      <c r="H464" s="5">
        <v>2830.4175780456121</v>
      </c>
      <c r="I464" s="5">
        <v>2830.417771322655</v>
      </c>
      <c r="J464" s="5">
        <v>2830.3602769562331</v>
      </c>
      <c r="K464" s="5">
        <v>3425.875</v>
      </c>
      <c r="L464" s="5">
        <v>3362.8593281608009</v>
      </c>
      <c r="M464" s="5">
        <v>3387</v>
      </c>
      <c r="N464" s="5">
        <v>3138.3817680996908</v>
      </c>
      <c r="O464" s="5">
        <v>3319.4731257510762</v>
      </c>
      <c r="P464">
        <v>3334.3908422897339</v>
      </c>
      <c r="Q464" s="5">
        <v>3026.025267781004</v>
      </c>
      <c r="R464" s="5">
        <v>3387.28125</v>
      </c>
      <c r="S464" s="5">
        <v>3462.38720703125</v>
      </c>
      <c r="T464" s="5">
        <v>2534.2250869484933</v>
      </c>
      <c r="U464" s="5">
        <v>2513.5570547062166</v>
      </c>
      <c r="V464" s="5">
        <v>2227.2818762777788</v>
      </c>
      <c r="W464" s="5">
        <v>2262.5168900194417</v>
      </c>
      <c r="Y464" s="5">
        <v>1756.2629955779839</v>
      </c>
    </row>
    <row r="465" spans="1:25">
      <c r="A465">
        <v>166</v>
      </c>
      <c r="B465">
        <v>5</v>
      </c>
      <c r="C465">
        <v>274.60000000000002</v>
      </c>
      <c r="D465">
        <v>18.720078217418219</v>
      </c>
      <c r="E465">
        <v>3.012048192771084</v>
      </c>
      <c r="F465">
        <v>2001</v>
      </c>
      <c r="G465" s="35">
        <v>1961.4842279065119</v>
      </c>
      <c r="H465" s="5">
        <v>2165.036104424858</v>
      </c>
      <c r="I465" s="5">
        <v>2165.0363206854008</v>
      </c>
      <c r="J465" s="5">
        <v>2165.085116723495</v>
      </c>
      <c r="K465" s="5">
        <v>2046.9793511169171</v>
      </c>
      <c r="L465" s="5">
        <v>1961.141364782826</v>
      </c>
      <c r="M465" s="5">
        <v>1996.56297391508</v>
      </c>
      <c r="N465" s="5">
        <v>1936.9825120321341</v>
      </c>
      <c r="O465" s="5">
        <v>1892.936415529133</v>
      </c>
      <c r="P465">
        <v>1902.2001475593629</v>
      </c>
      <c r="Q465" s="5">
        <v>1747.036445405025</v>
      </c>
      <c r="R465" s="5">
        <v>2040.806762695312</v>
      </c>
      <c r="S465" s="5">
        <v>1962.8602294921875</v>
      </c>
      <c r="T465" s="5">
        <v>1650.1180418281074</v>
      </c>
      <c r="U465" s="5">
        <v>1482.8280124552666</v>
      </c>
      <c r="V465" s="5">
        <v>1323.3975976374068</v>
      </c>
      <c r="W465" s="5">
        <v>1267.3536181476302</v>
      </c>
    </row>
    <row r="466" spans="1:25">
      <c r="A466">
        <v>114.3</v>
      </c>
      <c r="B466">
        <v>5.9</v>
      </c>
      <c r="C466">
        <v>355</v>
      </c>
      <c r="D466">
        <v>66.75</v>
      </c>
      <c r="E466">
        <v>2.6246719160104992</v>
      </c>
      <c r="F466">
        <v>1818.62</v>
      </c>
      <c r="G466" s="35">
        <v>1632.546017058914</v>
      </c>
      <c r="H466" s="5">
        <v>1693.621624506372</v>
      </c>
      <c r="I466" s="5">
        <v>1693.621985117574</v>
      </c>
      <c r="J466" s="5">
        <v>1693.628588018737</v>
      </c>
      <c r="K466" s="5">
        <v>1600.181</v>
      </c>
      <c r="L466" s="5">
        <v>1735.844477761334</v>
      </c>
      <c r="M466" s="5">
        <v>1759.5730380258919</v>
      </c>
      <c r="N466" s="5">
        <v>1828.020977879703</v>
      </c>
      <c r="O466" s="5">
        <v>1957.800918696156</v>
      </c>
      <c r="P466">
        <v>1824.6427505397389</v>
      </c>
      <c r="Q466" s="5">
        <v>1627.79341586851</v>
      </c>
      <c r="R466" s="5">
        <v>1940.123657226562</v>
      </c>
      <c r="S466" s="5">
        <v>1589.4498291015625</v>
      </c>
      <c r="T466" s="5">
        <v>1770.6232919614536</v>
      </c>
      <c r="U466" s="5">
        <v>1706.3057933469177</v>
      </c>
      <c r="V466" s="5">
        <v>1502.0759406795341</v>
      </c>
      <c r="W466" s="5">
        <v>1563.1157038967576</v>
      </c>
      <c r="Y466" s="5">
        <v>1229.0666050812731</v>
      </c>
    </row>
    <row r="467" spans="1:25">
      <c r="A467">
        <v>219.1</v>
      </c>
      <c r="B467">
        <v>10</v>
      </c>
      <c r="C467">
        <v>381</v>
      </c>
      <c r="D467">
        <v>50.052</v>
      </c>
      <c r="E467">
        <v>2.7384755819260609</v>
      </c>
      <c r="F467">
        <v>5241</v>
      </c>
      <c r="G467" s="35">
        <v>6648.6997373588629</v>
      </c>
      <c r="H467" s="5">
        <v>6014.2274082569693</v>
      </c>
      <c r="I467" s="5">
        <v>6014.2274227714479</v>
      </c>
      <c r="J467" s="5">
        <v>6014.1891992004657</v>
      </c>
      <c r="K467" s="5">
        <v>7656.5555555555557</v>
      </c>
      <c r="L467" s="5">
        <v>7408.6463857964036</v>
      </c>
      <c r="M467" s="5">
        <v>4864.279409177896</v>
      </c>
      <c r="N467" s="5">
        <v>7885.7646830464737</v>
      </c>
      <c r="O467" s="5">
        <v>6841.9754121982878</v>
      </c>
      <c r="P467">
        <v>6594.4899435344132</v>
      </c>
      <c r="Q467" s="5">
        <v>6071.7162894743087</v>
      </c>
      <c r="R467" s="5">
        <v>6002.3671875</v>
      </c>
      <c r="S467" s="5">
        <v>5217.35791015625</v>
      </c>
      <c r="T467" s="5">
        <v>5412.2907632406386</v>
      </c>
      <c r="U467" s="5">
        <v>5612.8714597899934</v>
      </c>
      <c r="V467" s="5">
        <v>4975.0131419479048</v>
      </c>
      <c r="W467" s="5">
        <v>4991.3529028196372</v>
      </c>
      <c r="X467" s="5">
        <v>5110.9335803416288</v>
      </c>
      <c r="Y467" s="5">
        <v>3957.8083721513121</v>
      </c>
    </row>
    <row r="468" spans="1:25">
      <c r="A468">
        <v>100</v>
      </c>
      <c r="B468">
        <v>2</v>
      </c>
      <c r="C468">
        <v>236.18</v>
      </c>
      <c r="D468">
        <v>36.700000000000003</v>
      </c>
      <c r="E468">
        <v>6</v>
      </c>
      <c r="F468">
        <v>558.6</v>
      </c>
      <c r="G468" s="35">
        <v>512.5</v>
      </c>
      <c r="H468" s="5">
        <v>-348.07064682143567</v>
      </c>
      <c r="I468" s="5">
        <v>-348.07058242406259</v>
      </c>
      <c r="J468" s="5">
        <v>-348.07593430746653</v>
      </c>
      <c r="K468" s="5">
        <v>467.45</v>
      </c>
      <c r="L468" s="5">
        <v>532.3769214794346</v>
      </c>
      <c r="M468" s="5">
        <v>512.82973300970866</v>
      </c>
      <c r="N468" s="5">
        <v>499.11520278488513</v>
      </c>
      <c r="O468" s="5">
        <v>519.29698792266561</v>
      </c>
      <c r="P468">
        <v>507.2338707555067</v>
      </c>
      <c r="Q468" s="5">
        <v>585.11348042076725</v>
      </c>
      <c r="R468" s="5">
        <v>512.84783935546875</v>
      </c>
      <c r="S468" s="5">
        <v>544.3836669921875</v>
      </c>
      <c r="T468" s="5">
        <v>516.33179573632856</v>
      </c>
      <c r="U468" s="5">
        <v>501.23694087175579</v>
      </c>
      <c r="V468" s="5">
        <v>430.04357748549279</v>
      </c>
      <c r="W468" s="5">
        <v>439.99642380480702</v>
      </c>
      <c r="X468" s="5">
        <v>431.22703158587598</v>
      </c>
      <c r="Y468" s="5">
        <v>387.38954350081769</v>
      </c>
    </row>
    <row r="469" spans="1:25">
      <c r="A469">
        <v>100</v>
      </c>
      <c r="B469">
        <v>0.52</v>
      </c>
      <c r="C469">
        <v>244</v>
      </c>
      <c r="D469">
        <v>37.4</v>
      </c>
      <c r="E469">
        <v>2</v>
      </c>
      <c r="F469">
        <v>396</v>
      </c>
      <c r="G469" s="35">
        <v>377.22474771111132</v>
      </c>
      <c r="H469" s="5">
        <v>-978.73842617795663</v>
      </c>
      <c r="I469" s="5">
        <v>-978.73798111323595</v>
      </c>
      <c r="J469" s="5">
        <v>-978.64887636762705</v>
      </c>
      <c r="K469" s="5">
        <v>738.55714285714282</v>
      </c>
      <c r="L469" s="5">
        <v>433.047161945803</v>
      </c>
      <c r="M469" s="5">
        <v>393.06831772090601</v>
      </c>
      <c r="N469" s="5">
        <v>364.05788062938461</v>
      </c>
      <c r="O469" s="5">
        <v>283.62012532889338</v>
      </c>
      <c r="P469">
        <v>325.44423502243598</v>
      </c>
      <c r="Q469" s="5">
        <v>340.76092552368112</v>
      </c>
      <c r="R469" s="5">
        <v>404.15585327148438</v>
      </c>
      <c r="S469" s="5">
        <v>123.5760498046875</v>
      </c>
      <c r="T469" s="5">
        <v>451.22717533257418</v>
      </c>
      <c r="U469" s="5">
        <v>351.89918412814939</v>
      </c>
      <c r="V469" s="5">
        <v>289.56680745391145</v>
      </c>
      <c r="Y469" s="5">
        <v>238.62955261824959</v>
      </c>
    </row>
    <row r="470" spans="1:25">
      <c r="A470">
        <v>127.1</v>
      </c>
      <c r="B470">
        <v>2.95</v>
      </c>
      <c r="C470">
        <v>334</v>
      </c>
      <c r="D470">
        <v>67.2</v>
      </c>
      <c r="E470">
        <v>5.5940204563335962</v>
      </c>
      <c r="F470">
        <v>1305</v>
      </c>
      <c r="G470" s="35">
        <v>1293.5852903385701</v>
      </c>
      <c r="H470" s="5">
        <v>1532.17232850541</v>
      </c>
      <c r="I470" s="5">
        <v>1532.172141725441</v>
      </c>
      <c r="J470" s="5">
        <v>1532.1179142653591</v>
      </c>
      <c r="K470" s="5">
        <v>1451</v>
      </c>
      <c r="L470" s="5">
        <v>1348.601703571429</v>
      </c>
      <c r="M470" s="5">
        <v>1349.1247759911009</v>
      </c>
      <c r="N470" s="5">
        <v>1416.1260961974581</v>
      </c>
      <c r="O470" s="5">
        <v>1210.615699885172</v>
      </c>
      <c r="P470">
        <v>1278.488471671189</v>
      </c>
      <c r="Q470" s="5">
        <v>1347.6271892210091</v>
      </c>
      <c r="R470" s="5">
        <v>1268.984497070312</v>
      </c>
      <c r="S470" s="5">
        <v>1327.5018310546875</v>
      </c>
      <c r="T470" s="5">
        <v>1332.8387766687752</v>
      </c>
      <c r="U470" s="5">
        <v>1397.8487732017488</v>
      </c>
      <c r="V470" s="5">
        <v>1194.7779048711468</v>
      </c>
      <c r="Y470" s="5">
        <v>1084.9294899928179</v>
      </c>
    </row>
    <row r="471" spans="1:25">
      <c r="A471">
        <v>318.3</v>
      </c>
      <c r="B471">
        <v>10.37</v>
      </c>
      <c r="C471">
        <v>335</v>
      </c>
      <c r="D471">
        <v>52.2</v>
      </c>
      <c r="E471">
        <v>3.0003141690229338</v>
      </c>
      <c r="F471">
        <v>9297</v>
      </c>
      <c r="G471" s="35">
        <v>8281.4181121988167</v>
      </c>
      <c r="H471" s="5">
        <v>9114.2556353446198</v>
      </c>
      <c r="I471" s="5">
        <v>9114.2550157575733</v>
      </c>
      <c r="J471" s="5">
        <v>9114.198956874312</v>
      </c>
      <c r="K471" s="5">
        <v>8000.545454545455</v>
      </c>
      <c r="L471" s="5">
        <v>7838.2100958321698</v>
      </c>
      <c r="M471" s="5">
        <v>8207.7766990291257</v>
      </c>
      <c r="N471" s="5">
        <v>8834.5994118803264</v>
      </c>
      <c r="O471" s="5">
        <v>8313.2093707155618</v>
      </c>
      <c r="P471">
        <v>7981.4388359883924</v>
      </c>
      <c r="Q471" s="5">
        <v>7958.3386402980668</v>
      </c>
      <c r="R471" s="5">
        <v>8504.416015625</v>
      </c>
      <c r="S471" s="5">
        <v>8520.2900390625</v>
      </c>
      <c r="T471" s="5">
        <v>8772.6789756880935</v>
      </c>
      <c r="U471" s="5">
        <v>9074.3038966820804</v>
      </c>
      <c r="V471" s="5">
        <v>7921.1235806669592</v>
      </c>
      <c r="W471" s="5">
        <v>8251.6437711688122</v>
      </c>
      <c r="X471" s="5">
        <v>8383.4120860569947</v>
      </c>
      <c r="Y471" s="5">
        <v>6757.6029531909253</v>
      </c>
    </row>
    <row r="472" spans="1:25">
      <c r="A472">
        <v>127</v>
      </c>
      <c r="B472">
        <v>4.2</v>
      </c>
      <c r="C472">
        <v>349</v>
      </c>
      <c r="D472">
        <v>84.2</v>
      </c>
      <c r="E472">
        <v>3.7795275590551181</v>
      </c>
      <c r="F472">
        <v>2245</v>
      </c>
      <c r="G472" s="35">
        <v>2254</v>
      </c>
      <c r="H472" s="5">
        <v>2107.47237634474</v>
      </c>
      <c r="I472" s="5">
        <v>2107.4724065017149</v>
      </c>
      <c r="J472" s="5">
        <v>2107.4411996374502</v>
      </c>
      <c r="K472" s="5">
        <v>1506.272727272727</v>
      </c>
      <c r="L472" s="5">
        <v>2038.881743589744</v>
      </c>
      <c r="M472" s="5">
        <v>2253.155339805825</v>
      </c>
      <c r="N472" s="5">
        <v>1984.316186318639</v>
      </c>
      <c r="O472" s="5">
        <v>2103.5160894632882</v>
      </c>
      <c r="P472">
        <v>2044.8808650562221</v>
      </c>
      <c r="Q472" s="5">
        <v>1856.4435991217581</v>
      </c>
      <c r="R472" s="5">
        <v>2248.75390625</v>
      </c>
      <c r="S472" s="5">
        <v>1921.8472900390625</v>
      </c>
      <c r="T472" s="5">
        <v>1881.3932023829555</v>
      </c>
      <c r="U472" s="5">
        <v>1846.2789637035378</v>
      </c>
      <c r="V472" s="5">
        <v>1588.2955778269893</v>
      </c>
    </row>
    <row r="473" spans="1:25">
      <c r="A473">
        <v>151</v>
      </c>
      <c r="B473">
        <v>2</v>
      </c>
      <c r="C473">
        <v>405</v>
      </c>
      <c r="D473">
        <v>46.831412032875782</v>
      </c>
      <c r="E473">
        <v>3.311258278145695</v>
      </c>
      <c r="F473">
        <v>1933.2</v>
      </c>
      <c r="G473" s="35">
        <v>2221.4685532035692</v>
      </c>
      <c r="H473" s="5">
        <v>1801.708204485418</v>
      </c>
      <c r="I473" s="5">
        <v>1801.708110491365</v>
      </c>
      <c r="J473" s="5">
        <v>1801.718426718179</v>
      </c>
      <c r="K473" s="5">
        <v>1996.7</v>
      </c>
      <c r="L473" s="5">
        <v>1970.938300501241</v>
      </c>
      <c r="M473" s="5">
        <v>1945.324217506595</v>
      </c>
      <c r="N473" s="5">
        <v>1746.2747440673329</v>
      </c>
      <c r="O473" s="5">
        <v>1840.683211919544</v>
      </c>
      <c r="P473">
        <v>1723.135805992207</v>
      </c>
      <c r="Q473" s="5">
        <v>1951.8649775250999</v>
      </c>
      <c r="R473" s="5">
        <v>1586.175537109375</v>
      </c>
      <c r="S473" s="5">
        <v>2010.7496337890625</v>
      </c>
      <c r="T473" s="5">
        <v>1515.9440324565917</v>
      </c>
      <c r="U473" s="5">
        <v>1409.0445038695213</v>
      </c>
      <c r="V473" s="5">
        <v>1203.5439770992975</v>
      </c>
      <c r="W473" s="5">
        <v>1208.2928503888149</v>
      </c>
      <c r="Y473" s="5">
        <v>1119.199704368883</v>
      </c>
    </row>
    <row r="474" spans="1:25">
      <c r="A474">
        <v>100</v>
      </c>
      <c r="B474">
        <v>2</v>
      </c>
      <c r="C474">
        <v>404</v>
      </c>
      <c r="D474">
        <v>68.160000000000011</v>
      </c>
      <c r="E474">
        <v>3</v>
      </c>
      <c r="F474">
        <v>920</v>
      </c>
      <c r="G474" s="35">
        <v>930</v>
      </c>
      <c r="H474" s="5">
        <v>473.06656077199318</v>
      </c>
      <c r="I474" s="5">
        <v>473.06676969997602</v>
      </c>
      <c r="J474" s="5">
        <v>473.06914036094349</v>
      </c>
      <c r="K474" s="5">
        <v>1148.1320000000001</v>
      </c>
      <c r="L474" s="5">
        <v>913.77268544272783</v>
      </c>
      <c r="M474" s="5">
        <v>929.88349514563106</v>
      </c>
      <c r="N474" s="5">
        <v>1025.009699763061</v>
      </c>
      <c r="O474" s="5">
        <v>1007.426618059975</v>
      </c>
      <c r="P474">
        <v>990.74867843253355</v>
      </c>
      <c r="Q474" s="5">
        <v>945.97393090671892</v>
      </c>
      <c r="R474" s="5">
        <v>928.64361572265625</v>
      </c>
      <c r="S474" s="5">
        <v>825.1627197265625</v>
      </c>
      <c r="T474" s="5">
        <v>1001.9609617765582</v>
      </c>
      <c r="U474" s="5">
        <v>896.35519468364328</v>
      </c>
      <c r="V474" s="5">
        <v>766.78280090902649</v>
      </c>
      <c r="W474" s="5">
        <v>791.56063839100079</v>
      </c>
      <c r="Y474" s="5">
        <v>709.90111414409262</v>
      </c>
    </row>
    <row r="475" spans="1:25">
      <c r="A475">
        <v>165</v>
      </c>
      <c r="B475">
        <v>2.75</v>
      </c>
      <c r="C475">
        <v>350</v>
      </c>
      <c r="D475">
        <v>38.4</v>
      </c>
      <c r="E475">
        <v>3.0909090909090908</v>
      </c>
      <c r="F475">
        <v>1560</v>
      </c>
      <c r="G475" s="35">
        <v>1924.441446911314</v>
      </c>
      <c r="H475" s="5">
        <v>2058.2591660500962</v>
      </c>
      <c r="I475" s="5">
        <v>2058.259141725719</v>
      </c>
      <c r="J475" s="5">
        <v>2058.2869651038868</v>
      </c>
      <c r="K475" s="5">
        <v>1637.9375</v>
      </c>
      <c r="L475" s="5">
        <v>1585.265723668577</v>
      </c>
      <c r="M475" s="5">
        <v>1609.8238897731339</v>
      </c>
      <c r="N475" s="5">
        <v>1576.784418937629</v>
      </c>
      <c r="O475" s="5">
        <v>1605.9293798863091</v>
      </c>
      <c r="P475">
        <v>1510.8177770323359</v>
      </c>
      <c r="Q475" s="5">
        <v>1498.185498695954</v>
      </c>
      <c r="R475" s="5">
        <v>1576.84619140625</v>
      </c>
      <c r="S475" s="5">
        <v>1853.2666015625</v>
      </c>
      <c r="T475" s="5">
        <v>1615.8621211940433</v>
      </c>
      <c r="U475" s="5">
        <v>1562.046088046761</v>
      </c>
      <c r="V475" s="5">
        <v>1348.0121279646698</v>
      </c>
      <c r="W475" s="5">
        <v>1308.2278451187685</v>
      </c>
      <c r="X475" s="5">
        <v>1468.5367365878151</v>
      </c>
      <c r="Y475" s="5">
        <v>1208.769013534775</v>
      </c>
    </row>
    <row r="476" spans="1:25">
      <c r="A476">
        <v>125</v>
      </c>
      <c r="B476">
        <v>1</v>
      </c>
      <c r="C476">
        <v>232</v>
      </c>
      <c r="D476">
        <v>106.02</v>
      </c>
      <c r="E476">
        <v>3.504</v>
      </c>
      <c r="F476">
        <v>1239</v>
      </c>
      <c r="G476" s="35">
        <v>2344.0068669750949</v>
      </c>
      <c r="H476" s="5">
        <v>846.92603809491311</v>
      </c>
      <c r="I476" s="5">
        <v>846.92598549137347</v>
      </c>
      <c r="J476" s="5">
        <v>846.93148818989175</v>
      </c>
      <c r="K476" s="5">
        <v>1246.384615384615</v>
      </c>
      <c r="L476" s="5">
        <v>1449.873992216121</v>
      </c>
      <c r="M476" s="5">
        <v>1384.949538834951</v>
      </c>
      <c r="N476" s="5">
        <v>1434.4324209380311</v>
      </c>
      <c r="O476" s="5">
        <v>1409.332738912407</v>
      </c>
      <c r="P476">
        <v>1353.6724251358021</v>
      </c>
      <c r="Q476" s="5">
        <v>1338.749899754135</v>
      </c>
      <c r="R476" s="5">
        <v>1438.93359375</v>
      </c>
      <c r="S476" s="5">
        <v>1575.7403564453125</v>
      </c>
      <c r="T476" s="5">
        <v>1417.9467006280388</v>
      </c>
      <c r="U476" s="5">
        <v>1389.9036260047187</v>
      </c>
      <c r="V476" s="5">
        <v>1143.2265485805026</v>
      </c>
    </row>
    <row r="477" spans="1:25">
      <c r="A477">
        <v>108</v>
      </c>
      <c r="B477">
        <v>8</v>
      </c>
      <c r="C477">
        <v>351</v>
      </c>
      <c r="D477">
        <v>73.52000000000001</v>
      </c>
      <c r="E477">
        <v>3</v>
      </c>
      <c r="F477">
        <v>1885</v>
      </c>
      <c r="G477" s="35">
        <v>1890.2054665409989</v>
      </c>
      <c r="H477" s="5">
        <v>2243.0303980457038</v>
      </c>
      <c r="I477" s="5">
        <v>2243.030825233443</v>
      </c>
      <c r="J477" s="5">
        <v>2243.0194269610879</v>
      </c>
      <c r="K477" s="5">
        <v>1779.624444444444</v>
      </c>
      <c r="L477" s="5">
        <v>1878.4137051282071</v>
      </c>
      <c r="M477" s="5">
        <v>1889.6194174757279</v>
      </c>
      <c r="N477" s="5">
        <v>1917.017917505626</v>
      </c>
      <c r="O477" s="5">
        <v>1865.332817988728</v>
      </c>
      <c r="P477">
        <v>1879.0930198798201</v>
      </c>
      <c r="Q477" s="5">
        <v>1848.7090030440379</v>
      </c>
      <c r="R477" s="5">
        <v>1880.25048828125</v>
      </c>
      <c r="S477" s="5">
        <v>1804.4212646484375</v>
      </c>
      <c r="T477" s="5">
        <v>1935.4165229039522</v>
      </c>
      <c r="U477" s="5">
        <v>1917.8302229906885</v>
      </c>
      <c r="V477" s="5">
        <v>1698.1561847863375</v>
      </c>
    </row>
    <row r="478" spans="1:25">
      <c r="A478">
        <v>166</v>
      </c>
      <c r="B478">
        <v>5</v>
      </c>
      <c r="C478">
        <v>274.60000000000002</v>
      </c>
      <c r="D478">
        <v>18.720078217418219</v>
      </c>
      <c r="E478">
        <v>2.1084337349397591</v>
      </c>
      <c r="F478">
        <v>2040</v>
      </c>
      <c r="G478" s="35">
        <v>1871.8624837971281</v>
      </c>
      <c r="H478" s="5">
        <v>2015.634468057031</v>
      </c>
      <c r="I478" s="5">
        <v>2015.6348407943581</v>
      </c>
      <c r="J478" s="5">
        <v>2015.714806874314</v>
      </c>
      <c r="K478" s="5">
        <v>1918.084787309881</v>
      </c>
      <c r="L478" s="5">
        <v>1905.646536053649</v>
      </c>
      <c r="M478" s="5">
        <v>1940.273928256285</v>
      </c>
      <c r="N478" s="5">
        <v>1807.923545054158</v>
      </c>
      <c r="O478" s="5">
        <v>1823.3091905594331</v>
      </c>
      <c r="P478">
        <v>1769.29974154314</v>
      </c>
      <c r="Q478" s="5">
        <v>1769.7878751376909</v>
      </c>
      <c r="R478" s="5">
        <v>1838.462646484375</v>
      </c>
      <c r="S478" s="5">
        <v>1795.5814208984375</v>
      </c>
      <c r="T478" s="5">
        <v>1724.2690619204077</v>
      </c>
      <c r="U478" s="5">
        <v>1482.8280124552666</v>
      </c>
      <c r="V478" s="5">
        <v>1323.3975976374068</v>
      </c>
      <c r="W478" s="5">
        <v>1267.3536181476302</v>
      </c>
    </row>
    <row r="479" spans="1:25">
      <c r="A479">
        <v>57.15</v>
      </c>
      <c r="B479">
        <v>1.6</v>
      </c>
      <c r="C479">
        <v>250</v>
      </c>
      <c r="D479">
        <v>48.56</v>
      </c>
      <c r="E479">
        <v>6.1242344706911638</v>
      </c>
      <c r="F479">
        <v>177.06</v>
      </c>
      <c r="G479" s="35">
        <v>161.21037199100999</v>
      </c>
      <c r="H479" s="5">
        <v>-1781.532248828149</v>
      </c>
      <c r="I479" s="5">
        <v>-1781.53200404001</v>
      </c>
      <c r="J479" s="5">
        <v>-1781.545308830759</v>
      </c>
      <c r="K479" s="5">
        <v>180.41</v>
      </c>
      <c r="L479" s="5">
        <v>182.7016730769241</v>
      </c>
      <c r="M479" s="5">
        <v>175.3262135922327</v>
      </c>
      <c r="N479" s="5">
        <v>186.54276953543609</v>
      </c>
      <c r="O479" s="5">
        <v>179.90166239983299</v>
      </c>
      <c r="P479">
        <v>179.81348689623221</v>
      </c>
      <c r="Q479" s="5">
        <v>179.4213260285737</v>
      </c>
      <c r="R479" s="5">
        <v>183.47135925292969</v>
      </c>
      <c r="S479" s="5">
        <v>4.1843380928039551</v>
      </c>
      <c r="T479" s="5">
        <v>202.88449528974525</v>
      </c>
      <c r="U479" s="5">
        <v>224.09330481433358</v>
      </c>
      <c r="V479" s="5">
        <v>193.09392179069658</v>
      </c>
      <c r="W479" s="5">
        <v>221.81709780989235</v>
      </c>
      <c r="X479" s="5">
        <v>188.00577326033971</v>
      </c>
      <c r="Y479" s="5">
        <v>170.36705402600711</v>
      </c>
    </row>
    <row r="480" spans="1:25">
      <c r="A480">
        <v>264.39999999999998</v>
      </c>
      <c r="B480">
        <v>4.5</v>
      </c>
      <c r="C480">
        <v>323.39999999999998</v>
      </c>
      <c r="D480">
        <v>21.9</v>
      </c>
      <c r="E480">
        <v>3.0711043872919821</v>
      </c>
      <c r="F480">
        <v>3357</v>
      </c>
      <c r="G480" s="35">
        <v>3565.357494868972</v>
      </c>
      <c r="H480" s="5">
        <v>5339.1623619517432</v>
      </c>
      <c r="I480" s="5">
        <v>5339.1619119427914</v>
      </c>
      <c r="J480" s="5">
        <v>5339.179180292489</v>
      </c>
      <c r="K480" s="5">
        <v>3181.5183552900662</v>
      </c>
      <c r="L480" s="5">
        <v>3655.7429766192072</v>
      </c>
      <c r="M480" s="5">
        <v>3545.7660194174759</v>
      </c>
      <c r="N480" s="5">
        <v>3176.569781931742</v>
      </c>
      <c r="O480" s="5">
        <v>3143.9574629905319</v>
      </c>
      <c r="P480">
        <v>3726.5524078230801</v>
      </c>
      <c r="Q480" s="5">
        <v>3339.4068948905501</v>
      </c>
      <c r="R480" s="5">
        <v>3580.374755859375</v>
      </c>
      <c r="S480" s="5">
        <v>3242.009765625</v>
      </c>
      <c r="T480" s="5">
        <v>3069.4585548620166</v>
      </c>
      <c r="U480" s="5">
        <v>3046.924693504503</v>
      </c>
      <c r="V480" s="5">
        <v>2675.7125356383835</v>
      </c>
      <c r="W480" s="5">
        <v>2416.4169267936377</v>
      </c>
      <c r="Y480" s="5">
        <v>2238.7139334410331</v>
      </c>
    </row>
    <row r="481" spans="1:25">
      <c r="A481">
        <v>131</v>
      </c>
      <c r="B481">
        <v>4</v>
      </c>
      <c r="C481">
        <v>306</v>
      </c>
      <c r="D481">
        <v>45.04</v>
      </c>
      <c r="E481">
        <v>3</v>
      </c>
      <c r="F481">
        <v>1403</v>
      </c>
      <c r="G481" s="35">
        <v>1335.3653444676411</v>
      </c>
      <c r="H481" s="5">
        <v>1257.5293565934351</v>
      </c>
      <c r="I481" s="5">
        <v>1257.5296041747649</v>
      </c>
      <c r="J481" s="5">
        <v>1257.5637834238951</v>
      </c>
      <c r="K481" s="5">
        <v>1411.8571428571429</v>
      </c>
      <c r="L481" s="5">
        <v>1341.8425126137449</v>
      </c>
      <c r="M481" s="5">
        <v>1347.660316689783</v>
      </c>
      <c r="N481" s="5">
        <v>1272.8103074253161</v>
      </c>
      <c r="O481" s="5">
        <v>1268.596020961339</v>
      </c>
      <c r="P481">
        <v>1326.521536611014</v>
      </c>
      <c r="Q481" s="5">
        <v>1282.0709865858109</v>
      </c>
      <c r="R481" s="5">
        <v>1313.510498046875</v>
      </c>
      <c r="S481" s="5">
        <v>1354.7177734375</v>
      </c>
      <c r="T481" s="5">
        <v>1396.7808570423258</v>
      </c>
      <c r="U481" s="5">
        <v>1326.3122457850277</v>
      </c>
      <c r="V481" s="5">
        <v>1157.4379555560195</v>
      </c>
      <c r="W481" s="5">
        <v>1264.7350899052819</v>
      </c>
      <c r="X481" s="5">
        <v>1235.6575867317761</v>
      </c>
      <c r="Y481" s="5">
        <v>989.79711047234298</v>
      </c>
    </row>
    <row r="482" spans="1:25">
      <c r="A482">
        <v>96</v>
      </c>
      <c r="B482">
        <v>5</v>
      </c>
      <c r="C482">
        <v>410</v>
      </c>
      <c r="D482">
        <v>26.01869872620826</v>
      </c>
      <c r="E482">
        <v>4.166666666666667</v>
      </c>
      <c r="F482">
        <v>1074</v>
      </c>
      <c r="G482" s="35">
        <v>1174.5</v>
      </c>
      <c r="H482" s="5">
        <v>533.45671970976855</v>
      </c>
      <c r="I482" s="5">
        <v>533.45708494136511</v>
      </c>
      <c r="J482" s="5">
        <v>533.45381919476813</v>
      </c>
      <c r="K482" s="5">
        <v>1130.97516879609</v>
      </c>
      <c r="L482" s="5">
        <v>1165.0372420322119</v>
      </c>
      <c r="M482" s="5">
        <v>1173.689218527727</v>
      </c>
      <c r="N482" s="5">
        <v>1114.410298224715</v>
      </c>
      <c r="O482" s="5">
        <v>1151.0299987334461</v>
      </c>
      <c r="P482">
        <v>1124.445290452918</v>
      </c>
      <c r="Q482" s="5">
        <v>1055.5186864807731</v>
      </c>
      <c r="R482" s="5">
        <v>1174.940185546875</v>
      </c>
      <c r="S482" s="5">
        <v>1144.2012939453125</v>
      </c>
      <c r="T482" s="5">
        <v>1093.240212780755</v>
      </c>
      <c r="U482" s="5">
        <v>1100.5613999135614</v>
      </c>
      <c r="V482" s="5">
        <v>992.96847935555263</v>
      </c>
      <c r="W482" s="5">
        <v>899.84456010481324</v>
      </c>
      <c r="Y482" s="5">
        <v>719.53283508012441</v>
      </c>
    </row>
    <row r="483" spans="1:25">
      <c r="A483">
        <v>114.3</v>
      </c>
      <c r="B483">
        <v>2.74</v>
      </c>
      <c r="C483">
        <v>235</v>
      </c>
      <c r="D483">
        <v>66.75</v>
      </c>
      <c r="E483">
        <v>2.6246719160104992</v>
      </c>
      <c r="F483">
        <v>981.23</v>
      </c>
      <c r="G483" s="35">
        <v>968.84923961592324</v>
      </c>
      <c r="H483" s="5">
        <v>343.39788466903428</v>
      </c>
      <c r="I483" s="5">
        <v>343.398238260374</v>
      </c>
      <c r="J483" s="5">
        <v>343.45621458307409</v>
      </c>
      <c r="K483" s="5">
        <v>926.47249999999985</v>
      </c>
      <c r="L483" s="5">
        <v>1024.306076400695</v>
      </c>
      <c r="M483" s="5">
        <v>1019.125107356238</v>
      </c>
      <c r="N483" s="5">
        <v>1033.9387951076551</v>
      </c>
      <c r="O483" s="5">
        <v>1046.460877533865</v>
      </c>
      <c r="P483">
        <v>1066.032074989012</v>
      </c>
      <c r="Q483" s="5">
        <v>1097.7900755279391</v>
      </c>
      <c r="R483" s="5">
        <v>1028.306030273438</v>
      </c>
      <c r="S483" s="5">
        <v>736.9464111328125</v>
      </c>
      <c r="T483" s="5">
        <v>1093.3325442831901</v>
      </c>
      <c r="U483" s="5">
        <v>986.39774755129474</v>
      </c>
      <c r="V483" s="5">
        <v>834.00203962050182</v>
      </c>
      <c r="Y483" s="5">
        <v>810.30014635730049</v>
      </c>
    </row>
    <row r="484" spans="1:25">
      <c r="A484">
        <v>48</v>
      </c>
      <c r="B484">
        <v>3.5</v>
      </c>
      <c r="C484">
        <v>304</v>
      </c>
      <c r="D484">
        <v>33.200000000000003</v>
      </c>
      <c r="E484">
        <v>4</v>
      </c>
      <c r="F484">
        <v>273</v>
      </c>
      <c r="G484" s="35">
        <v>553.39092964208157</v>
      </c>
      <c r="H484" s="5">
        <v>-1560.6051069210259</v>
      </c>
      <c r="I484" s="5">
        <v>-1560.6044829466859</v>
      </c>
      <c r="J484" s="5">
        <v>-1560.601501366192</v>
      </c>
      <c r="K484" s="5">
        <v>914.93714285714282</v>
      </c>
      <c r="L484" s="5">
        <v>600.24160095478624</v>
      </c>
      <c r="M484" s="5">
        <v>382.4567961165049</v>
      </c>
      <c r="N484" s="5">
        <v>347.19394619173482</v>
      </c>
      <c r="O484" s="5">
        <v>365.73517894963447</v>
      </c>
      <c r="P484">
        <v>346.8672687379734</v>
      </c>
      <c r="Q484" s="5">
        <v>334.00000000000011</v>
      </c>
      <c r="R484" s="5">
        <v>458.87942504882813</v>
      </c>
      <c r="S484" s="5">
        <v>151.04713439941406</v>
      </c>
      <c r="T484" s="5">
        <v>293.72102618807787</v>
      </c>
      <c r="U484" s="5">
        <v>284.80441209939551</v>
      </c>
      <c r="V484" s="5">
        <v>255.53025536049932</v>
      </c>
      <c r="W484" s="5">
        <v>238.4475002829758</v>
      </c>
      <c r="X484" s="5">
        <v>235.7024428890532</v>
      </c>
      <c r="Y484" s="5">
        <v>188.35809466606801</v>
      </c>
    </row>
    <row r="485" spans="1:25">
      <c r="A485">
        <v>108</v>
      </c>
      <c r="B485">
        <v>8</v>
      </c>
      <c r="C485">
        <v>351</v>
      </c>
      <c r="D485">
        <v>93.600000000000009</v>
      </c>
      <c r="E485">
        <v>3</v>
      </c>
      <c r="F485">
        <v>1967</v>
      </c>
      <c r="G485" s="35">
        <v>1974.44024393687</v>
      </c>
      <c r="H485" s="5">
        <v>2493.1916041716818</v>
      </c>
      <c r="I485" s="5">
        <v>2493.1919521478299</v>
      </c>
      <c r="J485" s="5">
        <v>2493.1549283034542</v>
      </c>
      <c r="K485" s="5">
        <v>1829.6324999999999</v>
      </c>
      <c r="L485" s="5">
        <v>1983.067653846156</v>
      </c>
      <c r="M485" s="5">
        <v>2031.198058252427</v>
      </c>
      <c r="N485" s="5">
        <v>1981.034073792357</v>
      </c>
      <c r="O485" s="5">
        <v>1998.552562057755</v>
      </c>
      <c r="P485">
        <v>1968.4928129189359</v>
      </c>
      <c r="Q485" s="5">
        <v>1833.2287127332579</v>
      </c>
      <c r="R485" s="5">
        <v>2009.508911132812</v>
      </c>
      <c r="S485" s="5">
        <v>2311.088134765625</v>
      </c>
      <c r="T485" s="5">
        <v>2083.7849206705891</v>
      </c>
      <c r="U485" s="5">
        <v>2051.3142328950084</v>
      </c>
      <c r="V485" s="5">
        <v>1804.9433927097939</v>
      </c>
    </row>
    <row r="486" spans="1:25">
      <c r="A486">
        <v>108</v>
      </c>
      <c r="B486">
        <v>6.47</v>
      </c>
      <c r="C486">
        <v>853</v>
      </c>
      <c r="D486">
        <v>25.4</v>
      </c>
      <c r="E486">
        <v>3</v>
      </c>
      <c r="F486">
        <v>2275</v>
      </c>
      <c r="G486" s="35">
        <v>3010.655282860841</v>
      </c>
      <c r="H486" s="5">
        <v>2607.391045270901</v>
      </c>
      <c r="I486" s="5">
        <v>2607.3912515278071</v>
      </c>
      <c r="J486" s="5">
        <v>2607.3080935074199</v>
      </c>
      <c r="K486" s="5">
        <v>1600.181</v>
      </c>
      <c r="L486" s="5">
        <v>2106.561731011931</v>
      </c>
      <c r="M486" s="5">
        <v>2332.838898498962</v>
      </c>
      <c r="N486" s="5">
        <v>1924.482653903726</v>
      </c>
      <c r="O486" s="5">
        <v>2117.816842253028</v>
      </c>
      <c r="P486">
        <v>2148.659595309583</v>
      </c>
      <c r="Q486" s="5">
        <v>2241.8708790487822</v>
      </c>
      <c r="R486" s="5">
        <v>2317.631591796875</v>
      </c>
      <c r="S486" s="5">
        <v>1961.7144775390625</v>
      </c>
      <c r="T486" s="5">
        <v>2261.2428030798437</v>
      </c>
      <c r="U486" s="5">
        <v>2855.9912821278044</v>
      </c>
      <c r="V486" s="5">
        <v>2759.8603754456358</v>
      </c>
    </row>
    <row r="487" spans="1:25">
      <c r="A487">
        <v>219</v>
      </c>
      <c r="B487">
        <v>4.75</v>
      </c>
      <c r="C487">
        <v>350</v>
      </c>
      <c r="D487">
        <v>22.41870468034481</v>
      </c>
      <c r="E487">
        <v>2.968036529680365</v>
      </c>
      <c r="F487">
        <v>3150</v>
      </c>
      <c r="G487" s="35">
        <v>3334.1592592372349</v>
      </c>
      <c r="H487" s="5">
        <v>4066.7309260993361</v>
      </c>
      <c r="I487" s="5">
        <v>4066.7307601934281</v>
      </c>
      <c r="J487" s="5">
        <v>4066.7541666212578</v>
      </c>
      <c r="K487" s="5">
        <v>3066.454545454545</v>
      </c>
      <c r="L487" s="5">
        <v>2998.5435646129608</v>
      </c>
      <c r="M487" s="5">
        <v>3355.588496384943</v>
      </c>
      <c r="N487" s="5">
        <v>2620.2173525885191</v>
      </c>
      <c r="O487" s="5">
        <v>2814.113976966285</v>
      </c>
      <c r="P487">
        <v>2773.1700833768268</v>
      </c>
      <c r="Q487" s="5">
        <v>3157.678804209469</v>
      </c>
      <c r="R487" s="5">
        <v>3196.8935546875</v>
      </c>
      <c r="S487" s="5">
        <v>2986.515869140625</v>
      </c>
      <c r="T487" s="5">
        <v>2643.3455434385905</v>
      </c>
      <c r="U487" s="5">
        <v>2585.5918603135001</v>
      </c>
      <c r="V487" s="5">
        <v>2291.6090699095471</v>
      </c>
      <c r="W487" s="5">
        <v>2191.6756933052588</v>
      </c>
      <c r="Y487" s="5">
        <v>1841.266660288999</v>
      </c>
    </row>
    <row r="488" spans="1:25">
      <c r="A488">
        <v>156</v>
      </c>
      <c r="B488">
        <v>4</v>
      </c>
      <c r="C488">
        <v>295</v>
      </c>
      <c r="D488">
        <v>38</v>
      </c>
      <c r="E488">
        <v>6.384615384615385</v>
      </c>
      <c r="F488">
        <v>1450</v>
      </c>
      <c r="G488" s="35">
        <v>1610.1692483134079</v>
      </c>
      <c r="H488" s="5">
        <v>2180.438327834383</v>
      </c>
      <c r="I488" s="5">
        <v>2180.438063689543</v>
      </c>
      <c r="J488" s="5">
        <v>2180.389837595621</v>
      </c>
      <c r="K488" s="5">
        <v>1529.545454545455</v>
      </c>
      <c r="L488" s="5">
        <v>1528.202005249422</v>
      </c>
      <c r="M488" s="5">
        <v>1625.4218540182389</v>
      </c>
      <c r="N488" s="5">
        <v>1277.24929256209</v>
      </c>
      <c r="O488" s="5">
        <v>1613.2492301422869</v>
      </c>
      <c r="P488">
        <v>1566.195023306653</v>
      </c>
      <c r="Q488" s="5">
        <v>1366.175600399024</v>
      </c>
      <c r="R488" s="5">
        <v>1383.713745117188</v>
      </c>
      <c r="S488" s="5">
        <v>1408.5040283203125</v>
      </c>
      <c r="T488" s="5">
        <v>1405.0591180393117</v>
      </c>
      <c r="U488" s="5">
        <v>1566.5589466237348</v>
      </c>
      <c r="V488" s="5">
        <v>1365.1024875904484</v>
      </c>
      <c r="W488" s="5">
        <v>1474.7014515153608</v>
      </c>
      <c r="X488" s="5">
        <v>1268.884869889989</v>
      </c>
      <c r="Y488" s="5">
        <v>1148.5408308323949</v>
      </c>
    </row>
    <row r="489" spans="1:25">
      <c r="A489">
        <v>114.3</v>
      </c>
      <c r="B489">
        <v>6</v>
      </c>
      <c r="C489">
        <v>342.95</v>
      </c>
      <c r="D489">
        <v>105.45</v>
      </c>
      <c r="E489">
        <v>6.99912510936133</v>
      </c>
      <c r="F489">
        <v>1622.5</v>
      </c>
      <c r="G489" s="35">
        <v>1400.8207150492431</v>
      </c>
      <c r="H489" s="5">
        <v>2608.2510913106448</v>
      </c>
      <c r="I489" s="5">
        <v>2608.250835190132</v>
      </c>
      <c r="J489" s="5">
        <v>2608.1085687162208</v>
      </c>
      <c r="K489" s="5">
        <v>1581.4428571428571</v>
      </c>
      <c r="L489" s="5">
        <v>1556.980780769228</v>
      </c>
      <c r="M489" s="5">
        <v>1551.1584466019419</v>
      </c>
      <c r="N489" s="5">
        <v>1580.8592037003029</v>
      </c>
      <c r="O489" s="5">
        <v>1581.370996465148</v>
      </c>
      <c r="P489">
        <v>1520.9588622938541</v>
      </c>
      <c r="Q489" s="5">
        <v>1543.1197061428729</v>
      </c>
      <c r="R489" s="5">
        <v>1542.111694335938</v>
      </c>
      <c r="S489" s="5">
        <v>1378.6885986328125</v>
      </c>
      <c r="T489" s="5">
        <v>1624.6634855609427</v>
      </c>
      <c r="U489" s="5">
        <v>1874.8825089284665</v>
      </c>
      <c r="V489" s="5">
        <v>1735.0576911816254</v>
      </c>
    </row>
    <row r="490" spans="1:25">
      <c r="A490">
        <v>108</v>
      </c>
      <c r="B490">
        <v>4.5</v>
      </c>
      <c r="C490">
        <v>259.7</v>
      </c>
      <c r="D490">
        <v>20.22</v>
      </c>
      <c r="E490">
        <v>3</v>
      </c>
      <c r="F490">
        <v>931</v>
      </c>
      <c r="G490" s="35">
        <v>844.08075579898889</v>
      </c>
      <c r="H490" s="5">
        <v>108.14074573868309</v>
      </c>
      <c r="I490" s="5">
        <v>108.1412775753124</v>
      </c>
      <c r="J490" s="5">
        <v>108.209150674681</v>
      </c>
      <c r="K490" s="5">
        <v>978.50140023792312</v>
      </c>
      <c r="L490" s="5">
        <v>893.67088165252403</v>
      </c>
      <c r="M490" s="5">
        <v>841.91776699029128</v>
      </c>
      <c r="N490" s="5">
        <v>833.37611648816937</v>
      </c>
      <c r="O490" s="5">
        <v>865.86749906479167</v>
      </c>
      <c r="P490">
        <v>847.24574460331473</v>
      </c>
      <c r="Q490" s="5">
        <v>803.55239176472423</v>
      </c>
      <c r="R490" s="5">
        <v>853.05548095703125</v>
      </c>
      <c r="S490" s="5">
        <v>814.0574951171875</v>
      </c>
      <c r="T490" s="5">
        <v>888.53648446927639</v>
      </c>
      <c r="U490" s="5">
        <v>771.2346086488003</v>
      </c>
      <c r="V490" s="5">
        <v>690.96196798571611</v>
      </c>
      <c r="W490" s="5">
        <v>663.91526564881508</v>
      </c>
    </row>
    <row r="491" spans="1:25">
      <c r="A491">
        <v>114.3</v>
      </c>
      <c r="B491">
        <v>6</v>
      </c>
      <c r="C491">
        <v>342.95</v>
      </c>
      <c r="D491">
        <v>58.68</v>
      </c>
      <c r="E491">
        <v>3.00087489063867</v>
      </c>
      <c r="F491">
        <v>1329.1</v>
      </c>
      <c r="G491" s="35">
        <v>1611.2708402363701</v>
      </c>
      <c r="H491" s="5">
        <v>1643.9840914762319</v>
      </c>
      <c r="I491" s="5">
        <v>1643.9844896542861</v>
      </c>
      <c r="J491" s="5">
        <v>1643.982393579166</v>
      </c>
      <c r="K491" s="5">
        <v>1565.424285714286</v>
      </c>
      <c r="L491" s="5">
        <v>1280.8405857045591</v>
      </c>
      <c r="M491" s="5">
        <v>1295.2027184466051</v>
      </c>
      <c r="N491" s="5">
        <v>1245.528674826993</v>
      </c>
      <c r="O491" s="5">
        <v>1248.893690001699</v>
      </c>
      <c r="P491">
        <v>1336.1238605343001</v>
      </c>
      <c r="Q491" s="5">
        <v>1402.9498708562321</v>
      </c>
      <c r="R491" s="5">
        <v>1273.352416992188</v>
      </c>
      <c r="S491" s="5">
        <v>1478.660888671875</v>
      </c>
      <c r="T491" s="5">
        <v>1633.7247438570653</v>
      </c>
      <c r="U491" s="5">
        <v>1616.4783465220635</v>
      </c>
      <c r="V491" s="5">
        <v>1427.519889470128</v>
      </c>
      <c r="W491" s="5">
        <v>1475.5481009933596</v>
      </c>
      <c r="Y491" s="5">
        <v>1149.6909806611941</v>
      </c>
    </row>
    <row r="492" spans="1:25">
      <c r="A492">
        <v>113.6</v>
      </c>
      <c r="B492">
        <v>3.2</v>
      </c>
      <c r="C492">
        <v>354.6</v>
      </c>
      <c r="D492">
        <v>42.7</v>
      </c>
      <c r="E492">
        <v>2.966549295774648</v>
      </c>
      <c r="F492">
        <v>1141</v>
      </c>
      <c r="G492" s="35">
        <v>1135.8091372483559</v>
      </c>
      <c r="H492" s="5">
        <v>571.14301925793166</v>
      </c>
      <c r="I492" s="5">
        <v>571.14334886727033</v>
      </c>
      <c r="J492" s="5">
        <v>571.18363534423338</v>
      </c>
      <c r="K492" s="5">
        <v>1014.885714285714</v>
      </c>
      <c r="L492" s="5">
        <v>1096.984426228702</v>
      </c>
      <c r="M492" s="5">
        <v>1134.593656977411</v>
      </c>
      <c r="N492" s="5">
        <v>1012.8098398200621</v>
      </c>
      <c r="O492" s="5">
        <v>999.60704418594662</v>
      </c>
      <c r="P492">
        <v>1056.602612429243</v>
      </c>
      <c r="Q492" s="5">
        <v>992.68396090410522</v>
      </c>
      <c r="R492" s="5">
        <v>1072.22119140625</v>
      </c>
      <c r="S492" s="5">
        <v>1016.88525390625</v>
      </c>
      <c r="T492" s="5">
        <v>1092.8777689113645</v>
      </c>
      <c r="U492" s="5">
        <v>1022.9584712678069</v>
      </c>
      <c r="V492" s="5">
        <v>896.26206974080276</v>
      </c>
      <c r="W492" s="5">
        <v>967.96564714613908</v>
      </c>
      <c r="X492" s="5">
        <v>948.55165167117264</v>
      </c>
      <c r="Y492" s="5">
        <v>754.07139581849117</v>
      </c>
    </row>
    <row r="493" spans="1:25">
      <c r="A493">
        <v>159</v>
      </c>
      <c r="B493">
        <v>8</v>
      </c>
      <c r="C493">
        <v>438</v>
      </c>
      <c r="D493">
        <v>46.831412032875782</v>
      </c>
      <c r="E493">
        <v>3.1446540880503151</v>
      </c>
      <c r="F493">
        <v>3173.7</v>
      </c>
      <c r="G493" s="35">
        <v>3298.9</v>
      </c>
      <c r="H493" s="5">
        <v>3794.0685147745171</v>
      </c>
      <c r="I493" s="5">
        <v>3794.0686621237651</v>
      </c>
      <c r="J493" s="5">
        <v>3794.0241901716281</v>
      </c>
      <c r="K493" s="5">
        <v>3050.8393338664159</v>
      </c>
      <c r="L493" s="5">
        <v>3269.585941015609</v>
      </c>
      <c r="M493" s="5">
        <v>3298.9000000000119</v>
      </c>
      <c r="N493" s="5">
        <v>3489.5327578644401</v>
      </c>
      <c r="O493" s="5">
        <v>3370.9666831932068</v>
      </c>
      <c r="P493">
        <v>3512.819149761785</v>
      </c>
      <c r="Q493" s="5">
        <v>2969.5094307023328</v>
      </c>
      <c r="R493" s="5">
        <v>3304.386962890625</v>
      </c>
      <c r="S493" s="5">
        <v>3224.913818359375</v>
      </c>
      <c r="T493" s="5">
        <v>3262.924103068638</v>
      </c>
      <c r="U493" s="5">
        <v>3444.9522737472225</v>
      </c>
      <c r="V493" s="5">
        <v>3075.8710904663299</v>
      </c>
      <c r="W493" s="5">
        <v>3002.3778742857753</v>
      </c>
      <c r="X493" s="5">
        <v>2998.8825136702608</v>
      </c>
      <c r="Y493" s="5">
        <v>2355.189765876858</v>
      </c>
    </row>
    <row r="494" spans="1:25">
      <c r="A494">
        <v>114.3</v>
      </c>
      <c r="B494">
        <v>6</v>
      </c>
      <c r="C494">
        <v>342.95</v>
      </c>
      <c r="D494">
        <v>73.3</v>
      </c>
      <c r="E494">
        <v>5</v>
      </c>
      <c r="F494">
        <v>1308.5</v>
      </c>
      <c r="G494" s="35">
        <v>1532.027467113614</v>
      </c>
      <c r="H494" s="5">
        <v>2040.104111300614</v>
      </c>
      <c r="I494" s="5">
        <v>2040.1042048409281</v>
      </c>
      <c r="J494" s="5">
        <v>2040.038273926798</v>
      </c>
      <c r="K494" s="5">
        <v>1562.37</v>
      </c>
      <c r="L494" s="5">
        <v>1418.535225616266</v>
      </c>
      <c r="M494" s="5">
        <v>1344.3190291262181</v>
      </c>
      <c r="N494" s="5">
        <v>1441.6481228335181</v>
      </c>
      <c r="O494" s="5">
        <v>1461.0330292513261</v>
      </c>
      <c r="P494">
        <v>1519.610956243517</v>
      </c>
      <c r="Q494" s="5">
        <v>1514.969316785458</v>
      </c>
      <c r="R494" s="5">
        <v>1360.590942382812</v>
      </c>
      <c r="S494" s="5">
        <v>1709.7052001953125</v>
      </c>
      <c r="T494" s="5">
        <v>1666.346265696892</v>
      </c>
      <c r="U494" s="5">
        <v>1736.6462602761283</v>
      </c>
      <c r="V494" s="5">
        <v>1523.6542204733798</v>
      </c>
    </row>
    <row r="495" spans="1:25">
      <c r="A495">
        <v>164.5</v>
      </c>
      <c r="B495">
        <v>2.34</v>
      </c>
      <c r="C495">
        <v>315</v>
      </c>
      <c r="D495">
        <v>46.763208585700767</v>
      </c>
      <c r="E495">
        <v>4.0121580547112474</v>
      </c>
      <c r="F495">
        <v>1984</v>
      </c>
      <c r="G495" s="35">
        <v>1681.4955082988031</v>
      </c>
      <c r="H495" s="5">
        <v>2071.3246584469421</v>
      </c>
      <c r="I495" s="5">
        <v>2071.3245037017459</v>
      </c>
      <c r="J495" s="5">
        <v>2071.3344954861941</v>
      </c>
      <c r="K495" s="5">
        <v>1996.7</v>
      </c>
      <c r="L495" s="5">
        <v>1893.3027533673519</v>
      </c>
      <c r="M495" s="5">
        <v>1931.3846199633219</v>
      </c>
      <c r="N495" s="5">
        <v>2120.7345017373532</v>
      </c>
      <c r="O495" s="5">
        <v>2263.7678617704378</v>
      </c>
      <c r="P495">
        <v>2040.3787513980581</v>
      </c>
      <c r="Q495" s="5">
        <v>1897.0054352077391</v>
      </c>
      <c r="R495" s="5">
        <v>2260.665283203125</v>
      </c>
      <c r="S495" s="5">
        <v>1802.6839599609375</v>
      </c>
      <c r="T495" s="5">
        <v>1567.804900761281</v>
      </c>
      <c r="U495" s="5">
        <v>1546.4398851960864</v>
      </c>
      <c r="V495" s="5">
        <v>1312.6465767033733</v>
      </c>
      <c r="W495" s="5">
        <v>1329.3674355412413</v>
      </c>
      <c r="X495" s="5">
        <v>1427.451163531817</v>
      </c>
      <c r="Y495" s="5">
        <v>1246.018961180645</v>
      </c>
    </row>
    <row r="496" spans="1:25">
      <c r="A496">
        <v>318.5</v>
      </c>
      <c r="B496">
        <v>10.37</v>
      </c>
      <c r="C496">
        <v>335</v>
      </c>
      <c r="D496">
        <v>52.2</v>
      </c>
      <c r="E496">
        <v>2.998430141287284</v>
      </c>
      <c r="F496">
        <v>8289</v>
      </c>
      <c r="G496" s="35">
        <v>9275.6176334570791</v>
      </c>
      <c r="H496" s="5">
        <v>9360.7065213883361</v>
      </c>
      <c r="I496" s="5">
        <v>9360.7059324508828</v>
      </c>
      <c r="J496" s="5">
        <v>9360.6548731529638</v>
      </c>
      <c r="K496" s="5">
        <v>8511.6</v>
      </c>
      <c r="L496" s="5">
        <v>8105.4233842681379</v>
      </c>
      <c r="M496" s="5">
        <v>8207.2281553398061</v>
      </c>
      <c r="N496" s="5">
        <v>7556.6401449471496</v>
      </c>
      <c r="O496" s="5">
        <v>8666.7704573461669</v>
      </c>
      <c r="P496">
        <v>9219.630283154429</v>
      </c>
      <c r="Q496" s="5">
        <v>8100.2129601634524</v>
      </c>
      <c r="R496" s="5">
        <v>8717.150390625</v>
      </c>
      <c r="S496" s="5">
        <v>9211.5166015625</v>
      </c>
      <c r="T496" s="5">
        <v>8781.079530544017</v>
      </c>
      <c r="U496" s="5">
        <v>9082.7213072505128</v>
      </c>
      <c r="V496" s="5">
        <v>7928.3036346403942</v>
      </c>
      <c r="W496" s="5">
        <v>8259.3218141235993</v>
      </c>
      <c r="X496" s="5">
        <v>8392.2114801977459</v>
      </c>
      <c r="Y496" s="5">
        <v>6764.4273840205096</v>
      </c>
    </row>
    <row r="497" spans="1:25">
      <c r="A497">
        <v>720</v>
      </c>
      <c r="B497">
        <v>8.3000000000000007</v>
      </c>
      <c r="C497">
        <v>312</v>
      </c>
      <c r="D497">
        <v>15</v>
      </c>
      <c r="E497">
        <v>3</v>
      </c>
      <c r="F497">
        <v>15000</v>
      </c>
      <c r="G497" s="35">
        <v>17794.347072836739</v>
      </c>
      <c r="H497" s="5">
        <v>20599.116327380241</v>
      </c>
      <c r="I497" s="5">
        <v>20599.113440697321</v>
      </c>
      <c r="J497" s="5">
        <v>20599.187192727419</v>
      </c>
      <c r="K497" s="5">
        <v>24381.571428571431</v>
      </c>
      <c r="L497" s="5">
        <v>20162.18159569598</v>
      </c>
      <c r="M497" s="5">
        <v>23702.177184466022</v>
      </c>
      <c r="N497" s="5">
        <v>15459.214005168929</v>
      </c>
      <c r="O497" s="5">
        <v>14581.36927052831</v>
      </c>
      <c r="P497">
        <v>16700.83404268654</v>
      </c>
      <c r="Q497" s="5">
        <v>18600.000000000011</v>
      </c>
      <c r="R497" s="5">
        <v>15613.0732421875</v>
      </c>
      <c r="S497" s="5">
        <v>16081.798828125</v>
      </c>
      <c r="T497" s="5">
        <v>15363.139758940044</v>
      </c>
      <c r="U497" s="5">
        <v>15208.710877439693</v>
      </c>
      <c r="V497" s="5">
        <v>13334.371559271478</v>
      </c>
      <c r="W497" s="5">
        <v>11920.175763957322</v>
      </c>
    </row>
    <row r="498" spans="1:25">
      <c r="A498">
        <v>114.3</v>
      </c>
      <c r="B498">
        <v>3.1</v>
      </c>
      <c r="C498">
        <v>348</v>
      </c>
      <c r="D498">
        <v>42.361163440033167</v>
      </c>
      <c r="E498">
        <v>5.8617672790901141</v>
      </c>
      <c r="F498">
        <v>904</v>
      </c>
      <c r="G498" s="35">
        <v>898</v>
      </c>
      <c r="H498" s="5">
        <v>728.77664266625379</v>
      </c>
      <c r="I498" s="5">
        <v>728.77659846069719</v>
      </c>
      <c r="J498" s="5">
        <v>728.73508748015547</v>
      </c>
      <c r="K498" s="5">
        <v>917.91615384615386</v>
      </c>
      <c r="L498" s="5">
        <v>937.45451040574824</v>
      </c>
      <c r="M498" s="5">
        <v>902.49638457012247</v>
      </c>
      <c r="N498" s="5">
        <v>933.85679562823816</v>
      </c>
      <c r="O498" s="5">
        <v>904.95829059396215</v>
      </c>
      <c r="P498">
        <v>908.5192801047192</v>
      </c>
      <c r="Q498" s="5">
        <v>980.97744083043006</v>
      </c>
      <c r="R498" s="5">
        <v>899.08050537109375</v>
      </c>
      <c r="S498" s="5">
        <v>801.755126953125</v>
      </c>
      <c r="T498" s="5">
        <v>948.99964705498428</v>
      </c>
      <c r="U498" s="5">
        <v>999.31975029187743</v>
      </c>
      <c r="V498" s="5">
        <v>874.14040658725196</v>
      </c>
      <c r="W498" s="5">
        <v>948.67940436717311</v>
      </c>
      <c r="X498" s="5">
        <v>807.24013081453677</v>
      </c>
      <c r="Y498" s="5">
        <v>724.99136625127096</v>
      </c>
    </row>
    <row r="499" spans="1:25">
      <c r="A499">
        <v>100</v>
      </c>
      <c r="B499">
        <v>3</v>
      </c>
      <c r="C499">
        <v>303.5</v>
      </c>
      <c r="D499">
        <v>46.8</v>
      </c>
      <c r="E499">
        <v>3</v>
      </c>
      <c r="F499">
        <v>766</v>
      </c>
      <c r="G499" s="35">
        <v>767.33333333333337</v>
      </c>
      <c r="H499" s="5">
        <v>103.2125067283073</v>
      </c>
      <c r="I499" s="5">
        <v>103.2128811836651</v>
      </c>
      <c r="J499" s="5">
        <v>103.23954683744709</v>
      </c>
      <c r="K499" s="5">
        <v>738.55714285714282</v>
      </c>
      <c r="L499" s="5">
        <v>781.7559510226256</v>
      </c>
      <c r="M499" s="5">
        <v>781.07703817824586</v>
      </c>
      <c r="N499" s="5">
        <v>810.47238474241931</v>
      </c>
      <c r="O499" s="5">
        <v>799.7314497072166</v>
      </c>
      <c r="P499">
        <v>789.87660627777757</v>
      </c>
      <c r="Q499" s="5">
        <v>772.76162423857352</v>
      </c>
      <c r="R499" s="5">
        <v>779.81304931640625</v>
      </c>
      <c r="S499" s="5">
        <v>809.4659423828125</v>
      </c>
      <c r="T499" s="5">
        <v>881.35877242234869</v>
      </c>
      <c r="U499" s="5">
        <v>774.26803469653078</v>
      </c>
      <c r="V499" s="5">
        <v>674.21263470232986</v>
      </c>
      <c r="W499" s="5">
        <v>753.02178107444774</v>
      </c>
      <c r="X499" s="5">
        <v>722.31052085579768</v>
      </c>
      <c r="Y499" s="5">
        <v>581.8404887493233</v>
      </c>
    </row>
    <row r="500" spans="1:25">
      <c r="A500">
        <v>121</v>
      </c>
      <c r="B500">
        <v>12</v>
      </c>
      <c r="C500">
        <v>294</v>
      </c>
      <c r="D500">
        <v>40.28</v>
      </c>
      <c r="E500">
        <v>4.1322314049586772</v>
      </c>
      <c r="F500">
        <v>2587</v>
      </c>
      <c r="G500" s="35">
        <v>2472.5222918172472</v>
      </c>
      <c r="H500" s="5">
        <v>3228.3306288413278</v>
      </c>
      <c r="I500" s="5">
        <v>3228.3311590348512</v>
      </c>
      <c r="J500" s="5">
        <v>3228.256689946993</v>
      </c>
      <c r="K500" s="5">
        <v>3050.8393338664159</v>
      </c>
      <c r="L500" s="5">
        <v>2839.9732844452101</v>
      </c>
      <c r="M500" s="5">
        <v>2459.1439923242092</v>
      </c>
      <c r="N500" s="5">
        <v>2181.5018724183501</v>
      </c>
      <c r="O500" s="5">
        <v>2335.314309333748</v>
      </c>
      <c r="P500">
        <v>2370.893403056793</v>
      </c>
      <c r="Q500" s="5">
        <v>2378.400124828037</v>
      </c>
      <c r="R500" s="5">
        <v>2222.05615234375</v>
      </c>
      <c r="S500" s="5">
        <v>2729.4873046875</v>
      </c>
      <c r="T500" s="5">
        <v>2420.5012468790974</v>
      </c>
      <c r="U500" s="5">
        <v>2254.7928957053823</v>
      </c>
      <c r="V500" s="5">
        <v>2018.4681028949556</v>
      </c>
      <c r="W500" s="5">
        <v>1816.1658287709581</v>
      </c>
      <c r="X500" s="5">
        <v>1790.682398684746</v>
      </c>
      <c r="Y500" s="5">
        <v>1473.5556110756361</v>
      </c>
    </row>
    <row r="501" spans="1:25">
      <c r="A501">
        <v>139.19999999999999</v>
      </c>
      <c r="B501">
        <v>3</v>
      </c>
      <c r="C501">
        <v>361.95</v>
      </c>
      <c r="D501">
        <v>31.24312990544307</v>
      </c>
      <c r="E501">
        <v>7.1839080459770122</v>
      </c>
      <c r="F501">
        <v>1059.8</v>
      </c>
      <c r="G501" s="35">
        <v>688.997719428285</v>
      </c>
      <c r="H501" s="5">
        <v>1542.672524144964</v>
      </c>
      <c r="I501" s="5">
        <v>1542.672162475435</v>
      </c>
      <c r="J501" s="5">
        <v>1542.603104055665</v>
      </c>
      <c r="K501" s="5">
        <v>1529.545454545455</v>
      </c>
      <c r="L501" s="5">
        <v>1258.7291377498241</v>
      </c>
      <c r="M501" s="5">
        <v>1119.306503223301</v>
      </c>
      <c r="N501" s="5">
        <v>1079.5686274713639</v>
      </c>
      <c r="O501" s="5">
        <v>1408.9294806878529</v>
      </c>
      <c r="P501">
        <v>1050.2705011528219</v>
      </c>
      <c r="Q501" s="5">
        <v>1174.364367401839</v>
      </c>
      <c r="R501" s="5">
        <v>1086.44580078125</v>
      </c>
      <c r="S501" s="5">
        <v>1290.0308837890625</v>
      </c>
      <c r="T501" s="5">
        <v>1032.9281329125329</v>
      </c>
      <c r="U501" s="5">
        <v>1188.0468722389437</v>
      </c>
      <c r="V501" s="5">
        <v>1043.0992602482331</v>
      </c>
      <c r="W501" s="5">
        <v>1074.336145061822</v>
      </c>
      <c r="X501" s="5">
        <v>907.42272579489315</v>
      </c>
      <c r="Y501" s="5">
        <v>841.86284241338001</v>
      </c>
    </row>
    <row r="502" spans="1:25">
      <c r="A502">
        <v>130.6</v>
      </c>
      <c r="B502">
        <v>4.3</v>
      </c>
      <c r="C502">
        <v>235</v>
      </c>
      <c r="D502">
        <v>26.6</v>
      </c>
      <c r="E502">
        <v>2.0214395099540581</v>
      </c>
      <c r="F502">
        <v>725</v>
      </c>
      <c r="G502" s="35">
        <v>1029.1690009852689</v>
      </c>
      <c r="H502" s="5">
        <v>727.01557407830614</v>
      </c>
      <c r="I502" s="5">
        <v>727.01613043434895</v>
      </c>
      <c r="J502" s="5">
        <v>727.09927512477657</v>
      </c>
      <c r="K502" s="5">
        <v>1295.829075636364</v>
      </c>
      <c r="L502" s="5">
        <v>1049.0825823198079</v>
      </c>
      <c r="M502" s="5">
        <v>1036.863449783001</v>
      </c>
      <c r="N502" s="5">
        <v>968.94282292338789</v>
      </c>
      <c r="O502" s="5">
        <v>1021.159339077962</v>
      </c>
      <c r="P502">
        <v>856.05910390213307</v>
      </c>
      <c r="Q502" s="5">
        <v>899.77633333161361</v>
      </c>
      <c r="R502" s="5">
        <v>909.00640869140625</v>
      </c>
      <c r="S502" s="5">
        <v>911.755615234375</v>
      </c>
      <c r="T502" s="5">
        <v>1229.714947568817</v>
      </c>
      <c r="U502" s="5">
        <v>960.48843052103916</v>
      </c>
      <c r="V502" s="5">
        <v>847.30052592388324</v>
      </c>
      <c r="W502" s="5">
        <v>885.40941186434361</v>
      </c>
      <c r="Y502" s="5">
        <v>694.76258976797658</v>
      </c>
    </row>
    <row r="503" spans="1:25">
      <c r="A503">
        <v>200</v>
      </c>
      <c r="B503">
        <v>2</v>
      </c>
      <c r="C503">
        <v>404</v>
      </c>
      <c r="D503">
        <v>68.160000000000011</v>
      </c>
      <c r="E503">
        <v>3</v>
      </c>
      <c r="F503">
        <v>3020</v>
      </c>
      <c r="G503" s="35">
        <v>3644.376394445113</v>
      </c>
      <c r="H503" s="5">
        <v>3726.3358255277949</v>
      </c>
      <c r="I503" s="5">
        <v>3726.3354038554698</v>
      </c>
      <c r="J503" s="5">
        <v>3726.331414280005</v>
      </c>
      <c r="K503" s="5">
        <v>2365.8375000000001</v>
      </c>
      <c r="L503" s="5">
        <v>2528.5890993159342</v>
      </c>
      <c r="M503" s="5">
        <v>2894.4318932038832</v>
      </c>
      <c r="N503" s="5">
        <v>2895.1900866969308</v>
      </c>
      <c r="O503" s="5">
        <v>2989.4422689250819</v>
      </c>
      <c r="P503">
        <v>2849.8546319660531</v>
      </c>
      <c r="Q503" s="5">
        <v>2513.2226175528021</v>
      </c>
      <c r="R503" s="5">
        <v>2842.1953125</v>
      </c>
      <c r="S503" s="5">
        <v>2962.8759765625</v>
      </c>
      <c r="T503" s="5">
        <v>2890.889664915871</v>
      </c>
      <c r="U503" s="5">
        <v>2870.7330801292992</v>
      </c>
      <c r="V503" s="5">
        <v>2398.0858589607506</v>
      </c>
      <c r="W503" s="5">
        <v>2461.5814657408418</v>
      </c>
      <c r="Y503" s="5">
        <v>1917.6209477566599</v>
      </c>
    </row>
    <row r="504" spans="1:25">
      <c r="A504">
        <v>114.3</v>
      </c>
      <c r="B504">
        <v>6.3</v>
      </c>
      <c r="C504">
        <v>428</v>
      </c>
      <c r="D504">
        <v>168.29499999999999</v>
      </c>
      <c r="E504">
        <v>2.1872265966754161</v>
      </c>
      <c r="F504">
        <v>2633</v>
      </c>
      <c r="G504" s="35">
        <v>2469.9248930052158</v>
      </c>
      <c r="H504" s="5">
        <v>3877.7693760732518</v>
      </c>
      <c r="I504" s="5">
        <v>3877.769416772046</v>
      </c>
      <c r="J504" s="5">
        <v>3877.6788012527409</v>
      </c>
      <c r="K504" s="5">
        <v>2176.58</v>
      </c>
      <c r="L504" s="5">
        <v>2477.5506089743599</v>
      </c>
      <c r="M504" s="5">
        <v>2625.5108269414759</v>
      </c>
      <c r="N504" s="5">
        <v>2717.9257872099038</v>
      </c>
      <c r="O504" s="5">
        <v>2883.1739429964682</v>
      </c>
      <c r="P504">
        <v>3051.4779658376751</v>
      </c>
      <c r="Q504" s="5">
        <v>2362.6796188431981</v>
      </c>
      <c r="R504" s="5">
        <v>3672.45361328125</v>
      </c>
      <c r="S504" s="5">
        <v>2704.719482421875</v>
      </c>
      <c r="T504" s="5">
        <v>2830.3605561195141</v>
      </c>
      <c r="U504" s="5">
        <v>2684.516985577101</v>
      </c>
      <c r="V504" s="5">
        <v>2454.2591241585092</v>
      </c>
    </row>
    <row r="505" spans="1:25">
      <c r="A505">
        <v>47.28</v>
      </c>
      <c r="B505">
        <v>1.87</v>
      </c>
      <c r="C505">
        <v>360</v>
      </c>
      <c r="D505">
        <v>32.619339776920157</v>
      </c>
      <c r="E505">
        <v>7.1912013536379016</v>
      </c>
      <c r="F505">
        <v>250</v>
      </c>
      <c r="G505" s="35">
        <v>230.0783722255949</v>
      </c>
      <c r="H505" s="5">
        <v>-1830.530578020232</v>
      </c>
      <c r="I505" s="5">
        <v>-1830.530414873916</v>
      </c>
      <c r="J505" s="5">
        <v>-1830.582663989886</v>
      </c>
      <c r="K505" s="5">
        <v>180.41</v>
      </c>
      <c r="L505" s="5">
        <v>219.69771474358981</v>
      </c>
      <c r="M505" s="5">
        <v>243.82524271844659</v>
      </c>
      <c r="N505" s="5">
        <v>216.02852724696109</v>
      </c>
      <c r="O505" s="5">
        <v>218.1342230433925</v>
      </c>
      <c r="P505">
        <v>219.74185495259309</v>
      </c>
      <c r="Q505" s="5">
        <v>214.99999999999989</v>
      </c>
      <c r="R505" s="5">
        <v>241.52668762207031</v>
      </c>
      <c r="S505" s="5">
        <v>333.10888671875</v>
      </c>
      <c r="T505" s="5">
        <v>149.91648743763852</v>
      </c>
      <c r="U505" s="5">
        <v>204.14947997889197</v>
      </c>
      <c r="V505" s="5">
        <v>182.06620479113738</v>
      </c>
      <c r="W505" s="5">
        <v>181.02587571385106</v>
      </c>
      <c r="X505" s="5">
        <v>147.6704017233524</v>
      </c>
      <c r="Y505" s="5">
        <v>136.78812483103519</v>
      </c>
    </row>
    <row r="506" spans="1:25">
      <c r="A506">
        <v>89.32</v>
      </c>
      <c r="B506">
        <v>2.74</v>
      </c>
      <c r="C506">
        <v>360</v>
      </c>
      <c r="D506">
        <v>27.458933624883009</v>
      </c>
      <c r="E506">
        <v>3.8065382892969102</v>
      </c>
      <c r="F506">
        <v>599</v>
      </c>
      <c r="G506" s="35">
        <v>606.53435865517667</v>
      </c>
      <c r="H506" s="5">
        <v>-440.77492589541589</v>
      </c>
      <c r="I506" s="5">
        <v>-440.7745526401518</v>
      </c>
      <c r="J506" s="5">
        <v>-440.74300507993581</v>
      </c>
      <c r="K506" s="5">
        <v>656.58984669245831</v>
      </c>
      <c r="L506" s="5">
        <v>603.68642645815714</v>
      </c>
      <c r="M506" s="5">
        <v>603.56174294960704</v>
      </c>
      <c r="N506" s="5">
        <v>595.37482393603409</v>
      </c>
      <c r="O506" s="5">
        <v>609.11064757590691</v>
      </c>
      <c r="P506">
        <v>602.54248913779395</v>
      </c>
      <c r="Q506" s="5">
        <v>613.66600129336882</v>
      </c>
      <c r="R506" s="5">
        <v>607.3558349609375</v>
      </c>
      <c r="S506" s="5">
        <v>593.7239990234375</v>
      </c>
      <c r="T506" s="5">
        <v>643.17864484182974</v>
      </c>
      <c r="U506" s="5">
        <v>586.23777694973853</v>
      </c>
      <c r="V506" s="5">
        <v>521.93653402453026</v>
      </c>
      <c r="W506" s="5">
        <v>518.66330142541108</v>
      </c>
      <c r="Y506" s="5">
        <v>407.90297322218561</v>
      </c>
    </row>
    <row r="507" spans="1:25">
      <c r="A507">
        <v>140</v>
      </c>
      <c r="B507">
        <v>4.5</v>
      </c>
      <c r="C507">
        <v>374.2</v>
      </c>
      <c r="D507">
        <v>50.44</v>
      </c>
      <c r="E507">
        <v>3</v>
      </c>
      <c r="F507">
        <v>1530.4</v>
      </c>
      <c r="G507" s="35">
        <v>1524.3</v>
      </c>
      <c r="H507" s="5">
        <v>1980.8284150860829</v>
      </c>
      <c r="I507" s="5">
        <v>1980.8285659682281</v>
      </c>
      <c r="J507" s="5">
        <v>1980.837721506083</v>
      </c>
      <c r="K507" s="5">
        <v>1587.5</v>
      </c>
      <c r="L507" s="5">
        <v>1583.6035480776261</v>
      </c>
      <c r="M507" s="5">
        <v>1527.107941516407</v>
      </c>
      <c r="N507" s="5">
        <v>1598.42320757024</v>
      </c>
      <c r="O507" s="5">
        <v>1607.184995833429</v>
      </c>
      <c r="P507">
        <v>1547.4651668345091</v>
      </c>
      <c r="Q507" s="5">
        <v>1758.8892023653141</v>
      </c>
      <c r="R507" s="5">
        <v>1527.168334960938</v>
      </c>
      <c r="S507" s="5">
        <v>1900.4564208984375</v>
      </c>
      <c r="T507" s="5">
        <v>1862.0134594737265</v>
      </c>
      <c r="U507" s="5">
        <v>1841.0772785788602</v>
      </c>
      <c r="V507" s="5">
        <v>1614.0690860962518</v>
      </c>
      <c r="W507" s="5">
        <v>1728.687744104878</v>
      </c>
      <c r="X507" s="5">
        <v>1688.434196108389</v>
      </c>
      <c r="Y507" s="5">
        <v>1351.8317444518791</v>
      </c>
    </row>
    <row r="508" spans="1:25">
      <c r="A508">
        <v>190</v>
      </c>
      <c r="B508">
        <v>1.52</v>
      </c>
      <c r="C508">
        <v>306.10000000000002</v>
      </c>
      <c r="D508">
        <v>80.2</v>
      </c>
      <c r="E508">
        <v>3.492105263157895</v>
      </c>
      <c r="F508">
        <v>2602</v>
      </c>
      <c r="G508" s="35">
        <v>1965.683137492334</v>
      </c>
      <c r="H508" s="5">
        <v>3197.946839271307</v>
      </c>
      <c r="I508" s="5">
        <v>3197.946443915002</v>
      </c>
      <c r="J508" s="5">
        <v>3197.9480916774078</v>
      </c>
      <c r="K508" s="5">
        <v>1755.288888888889</v>
      </c>
      <c r="L508" s="5">
        <v>2382.743040805859</v>
      </c>
      <c r="M508" s="5">
        <v>2660.808349514562</v>
      </c>
      <c r="N508" s="5">
        <v>2810.7853755376841</v>
      </c>
      <c r="O508" s="5">
        <v>2963.6891058372212</v>
      </c>
      <c r="P508">
        <v>2672.4839116917269</v>
      </c>
      <c r="Q508" s="5">
        <v>2447.650487288824</v>
      </c>
      <c r="R508" s="5">
        <v>2571.688232421875</v>
      </c>
      <c r="S508" s="5">
        <v>2787.143310546875</v>
      </c>
      <c r="T508" s="5">
        <v>2592.7905275614562</v>
      </c>
      <c r="U508" s="5">
        <v>2648.0282469785329</v>
      </c>
      <c r="V508" s="5">
        <v>2174.1745229136595</v>
      </c>
    </row>
    <row r="509" spans="1:25">
      <c r="A509">
        <v>96</v>
      </c>
      <c r="B509">
        <v>5</v>
      </c>
      <c r="C509">
        <v>410.89863500000001</v>
      </c>
      <c r="D509">
        <v>27.755761495000002</v>
      </c>
      <c r="E509">
        <v>4.6875</v>
      </c>
      <c r="F509">
        <v>1166.991353408029</v>
      </c>
      <c r="G509" s="35">
        <v>1044.4082280500429</v>
      </c>
      <c r="H509" s="5">
        <v>610.24194817166449</v>
      </c>
      <c r="I509" s="5">
        <v>610.24224457550326</v>
      </c>
      <c r="J509" s="5">
        <v>610.22320573896491</v>
      </c>
      <c r="K509" s="5">
        <v>1094.52687271323</v>
      </c>
      <c r="L509" s="5">
        <v>1067.0116744877671</v>
      </c>
      <c r="M509" s="5">
        <v>1046.475458829284</v>
      </c>
      <c r="N509" s="5">
        <v>1097.2470543336419</v>
      </c>
      <c r="O509" s="5">
        <v>1081.543644217114</v>
      </c>
      <c r="P509">
        <v>1083.4048382930091</v>
      </c>
      <c r="Q509" s="5">
        <v>1042.2077634022239</v>
      </c>
      <c r="R509" s="5">
        <v>1045.182373046875</v>
      </c>
      <c r="S509" s="5">
        <v>1045.169921875</v>
      </c>
      <c r="T509" s="5">
        <v>1076.3637806799466</v>
      </c>
      <c r="U509" s="5">
        <v>1112.7325987551801</v>
      </c>
      <c r="V509" s="5">
        <v>1002.9520575375221</v>
      </c>
      <c r="W509" s="5">
        <v>918.00633966207442</v>
      </c>
      <c r="Y509" s="5">
        <v>727.42859237821801</v>
      </c>
    </row>
    <row r="510" spans="1:25">
      <c r="A510">
        <v>190</v>
      </c>
      <c r="B510">
        <v>1.52</v>
      </c>
      <c r="C510">
        <v>306.10000000000002</v>
      </c>
      <c r="D510">
        <v>108</v>
      </c>
      <c r="E510">
        <v>3.4815789473684209</v>
      </c>
      <c r="F510">
        <v>3260</v>
      </c>
      <c r="G510" s="35">
        <v>3200.070005100752</v>
      </c>
      <c r="H510" s="5">
        <v>3686.230699751427</v>
      </c>
      <c r="I510" s="5">
        <v>3686.2302064093769</v>
      </c>
      <c r="J510" s="5">
        <v>3686.210127193915</v>
      </c>
      <c r="K510" s="5">
        <v>3026.571428571428</v>
      </c>
      <c r="L510" s="5">
        <v>3008.7445801282038</v>
      </c>
      <c r="M510" s="5">
        <v>3202.051456310679</v>
      </c>
      <c r="N510" s="5">
        <v>2925.881588331757</v>
      </c>
      <c r="O510" s="5">
        <v>3129.4175311290328</v>
      </c>
      <c r="P510">
        <v>3113.636044377246</v>
      </c>
      <c r="Q510" s="5">
        <v>2810.2666552080932</v>
      </c>
      <c r="R510" s="5">
        <v>2955.5859375</v>
      </c>
      <c r="S510" s="5">
        <v>2993.53662109375</v>
      </c>
      <c r="T510" s="5">
        <v>3128.5678606927436</v>
      </c>
      <c r="U510" s="5">
        <v>3361.6271485471984</v>
      </c>
      <c r="V510" s="5">
        <v>2784.7256862029658</v>
      </c>
    </row>
    <row r="511" spans="1:25">
      <c r="A511">
        <v>112.56</v>
      </c>
      <c r="B511">
        <v>2.89</v>
      </c>
      <c r="C511">
        <v>360</v>
      </c>
      <c r="D511">
        <v>31.68001722925047</v>
      </c>
      <c r="E511">
        <v>3.020611229566454</v>
      </c>
      <c r="F511">
        <v>755</v>
      </c>
      <c r="G511" s="35">
        <v>764.37712877753916</v>
      </c>
      <c r="H511" s="5">
        <v>338.67510003077859</v>
      </c>
      <c r="I511" s="5">
        <v>338.6754194202465</v>
      </c>
      <c r="J511" s="5">
        <v>338.71880187104381</v>
      </c>
      <c r="K511" s="5">
        <v>769.4545454545455</v>
      </c>
      <c r="L511" s="5">
        <v>764.65753808035822</v>
      </c>
      <c r="M511" s="5">
        <v>757.6954419081386</v>
      </c>
      <c r="N511" s="5">
        <v>752.66680016396833</v>
      </c>
      <c r="O511" s="5">
        <v>744.50105612496509</v>
      </c>
      <c r="P511">
        <v>743.58980761692828</v>
      </c>
      <c r="Q511" s="5">
        <v>787.93651308990945</v>
      </c>
      <c r="R511" s="5">
        <v>744.60821533203125</v>
      </c>
      <c r="S511" s="5">
        <v>860.9407958984375</v>
      </c>
      <c r="T511" s="5">
        <v>932.35992868209428</v>
      </c>
      <c r="U511" s="5">
        <v>864.39891735242543</v>
      </c>
      <c r="V511" s="5">
        <v>762.67359725682547</v>
      </c>
      <c r="W511" s="5">
        <v>787.92308677394669</v>
      </c>
      <c r="X511" s="5">
        <v>801.12966742613162</v>
      </c>
      <c r="Y511" s="5">
        <v>623.45114493351775</v>
      </c>
    </row>
    <row r="512" spans="1:25">
      <c r="A512">
        <v>127</v>
      </c>
      <c r="B512">
        <v>2.41</v>
      </c>
      <c r="C512">
        <v>294</v>
      </c>
      <c r="D512">
        <v>35.6</v>
      </c>
      <c r="E512">
        <v>7.1968503937007871</v>
      </c>
      <c r="F512">
        <v>658</v>
      </c>
      <c r="G512" s="35">
        <v>623</v>
      </c>
      <c r="H512" s="5">
        <v>766.02157663241587</v>
      </c>
      <c r="I512" s="5">
        <v>766.0213434506918</v>
      </c>
      <c r="J512" s="5">
        <v>765.9800619795019</v>
      </c>
      <c r="K512" s="5">
        <v>1095.333333333333</v>
      </c>
      <c r="L512" s="5">
        <v>724.92642229369619</v>
      </c>
      <c r="M512" s="5">
        <v>624.00747033441212</v>
      </c>
      <c r="N512" s="5">
        <v>720.96186266828738</v>
      </c>
      <c r="O512" s="5">
        <v>643.57582966859763</v>
      </c>
      <c r="P512">
        <v>683.44577959870151</v>
      </c>
      <c r="Q512" s="5">
        <v>749.97450966994552</v>
      </c>
      <c r="R512" s="5">
        <v>623.2279052734375</v>
      </c>
      <c r="S512" s="5">
        <v>767.1378173828125</v>
      </c>
      <c r="T512" s="5">
        <v>759.18655020284621</v>
      </c>
      <c r="U512" s="5">
        <v>866.66335563550513</v>
      </c>
      <c r="V512" s="5">
        <v>748.79933592591192</v>
      </c>
      <c r="W512" s="5">
        <v>737.23317459230941</v>
      </c>
      <c r="X512" s="5">
        <v>696.82887389245604</v>
      </c>
      <c r="Y512" s="5">
        <v>646.34059570249326</v>
      </c>
    </row>
    <row r="513" spans="1:25">
      <c r="A513">
        <v>108</v>
      </c>
      <c r="B513">
        <v>6.47</v>
      </c>
      <c r="C513">
        <v>853</v>
      </c>
      <c r="D513">
        <v>77</v>
      </c>
      <c r="E513">
        <v>3</v>
      </c>
      <c r="F513">
        <v>2713</v>
      </c>
      <c r="G513" s="35">
        <v>4145.9825767032899</v>
      </c>
      <c r="H513" s="5">
        <v>3599.144769601889</v>
      </c>
      <c r="I513" s="5">
        <v>3599.1446555613429</v>
      </c>
      <c r="J513" s="5">
        <v>3599.0069307124149</v>
      </c>
      <c r="K513" s="5">
        <v>1879.4145454545451</v>
      </c>
      <c r="L513" s="5">
        <v>2339.3650352564109</v>
      </c>
      <c r="M513" s="5">
        <v>2321.0356634304198</v>
      </c>
      <c r="N513" s="5">
        <v>2427.873481312382</v>
      </c>
      <c r="O513" s="5">
        <v>3045.5860456830678</v>
      </c>
      <c r="P513">
        <v>3012.3802893683619</v>
      </c>
      <c r="Q513" s="5">
        <v>2322.99288067722</v>
      </c>
      <c r="R513" s="5">
        <v>2658.966064453125</v>
      </c>
      <c r="S513" s="5">
        <v>3271.515380859375</v>
      </c>
      <c r="T513" s="5">
        <v>2818.5861281154553</v>
      </c>
      <c r="U513" s="5">
        <v>3222.2055013515624</v>
      </c>
      <c r="V513" s="5">
        <v>3052.8317508246419</v>
      </c>
      <c r="W513" s="5">
        <v>2878.1419414600546</v>
      </c>
    </row>
    <row r="514" spans="1:25">
      <c r="A514">
        <v>108</v>
      </c>
      <c r="B514">
        <v>5.5</v>
      </c>
      <c r="C514">
        <v>383.1</v>
      </c>
      <c r="D514">
        <v>72.239999999999995</v>
      </c>
      <c r="E514">
        <v>3</v>
      </c>
      <c r="F514">
        <v>1752</v>
      </c>
      <c r="G514" s="35">
        <v>1852.336903539443</v>
      </c>
      <c r="H514" s="5">
        <v>1700.437454099628</v>
      </c>
      <c r="I514" s="5">
        <v>1700.437762944455</v>
      </c>
      <c r="J514" s="5">
        <v>1700.4233422717759</v>
      </c>
      <c r="K514" s="5">
        <v>2075.818181818182</v>
      </c>
      <c r="L514" s="5">
        <v>1826.7528226894919</v>
      </c>
      <c r="M514" s="5">
        <v>1800.6309223300971</v>
      </c>
      <c r="N514" s="5">
        <v>1815.419931505558</v>
      </c>
      <c r="O514" s="5">
        <v>1859.070191817731</v>
      </c>
      <c r="P514">
        <v>1858.3496439961809</v>
      </c>
      <c r="Q514" s="5">
        <v>1879.753904765661</v>
      </c>
      <c r="R514" s="5">
        <v>1897.0244140625</v>
      </c>
      <c r="S514" s="5">
        <v>1835.531494140625</v>
      </c>
      <c r="T514" s="5">
        <v>1704.6247660574002</v>
      </c>
      <c r="U514" s="5">
        <v>1633.0067492778676</v>
      </c>
      <c r="V514" s="5">
        <v>1436.878711477719</v>
      </c>
      <c r="W514" s="5">
        <v>1502.9475447812886</v>
      </c>
    </row>
    <row r="515" spans="1:25">
      <c r="A515">
        <v>120.80240000000001</v>
      </c>
      <c r="B515">
        <v>4.0893999999999986</v>
      </c>
      <c r="C515">
        <v>451.60660184</v>
      </c>
      <c r="D515">
        <v>29.578508731199999</v>
      </c>
      <c r="E515">
        <v>1.9978973927670309</v>
      </c>
      <c r="F515">
        <v>1201.019832</v>
      </c>
      <c r="G515" s="35">
        <v>1154.68225812321</v>
      </c>
      <c r="H515" s="5">
        <v>1085.293289498951</v>
      </c>
      <c r="I515" s="5">
        <v>1085.2936822347399</v>
      </c>
      <c r="J515" s="5">
        <v>1085.336777353866</v>
      </c>
      <c r="K515" s="5">
        <v>1325.606839272727</v>
      </c>
      <c r="L515" s="5">
        <v>1199.96859104536</v>
      </c>
      <c r="M515" s="5">
        <v>1136.9409701025629</v>
      </c>
      <c r="N515" s="5">
        <v>1356.336914931499</v>
      </c>
      <c r="O515" s="5">
        <v>1145.7928424053521</v>
      </c>
      <c r="P515">
        <v>1211.874457952837</v>
      </c>
      <c r="Q515" s="5">
        <v>1350.2844337646441</v>
      </c>
      <c r="R515" s="5">
        <v>1163.478759765625</v>
      </c>
      <c r="S515" s="5">
        <v>1103.087646484375</v>
      </c>
      <c r="T515" s="5">
        <v>1436.3729319735132</v>
      </c>
      <c r="U515" s="5">
        <v>1391.6559144707983</v>
      </c>
      <c r="V515" s="5">
        <v>1246.4440892040282</v>
      </c>
      <c r="W515" s="5">
        <v>1184.7156031331992</v>
      </c>
      <c r="X515" s="5">
        <v>1338.1415622573941</v>
      </c>
      <c r="Y515" s="5">
        <v>953.77041439420623</v>
      </c>
    </row>
    <row r="516" spans="1:25">
      <c r="A516">
        <v>96</v>
      </c>
      <c r="B516">
        <v>5</v>
      </c>
      <c r="C516">
        <v>410</v>
      </c>
      <c r="D516">
        <v>17.825649746265189</v>
      </c>
      <c r="E516">
        <v>4.6875</v>
      </c>
      <c r="F516">
        <v>1167</v>
      </c>
      <c r="G516" s="35">
        <v>1044</v>
      </c>
      <c r="H516" s="5">
        <v>422.21409421082689</v>
      </c>
      <c r="I516" s="5">
        <v>422.21441317079029</v>
      </c>
      <c r="J516" s="5">
        <v>422.19666443856681</v>
      </c>
      <c r="K516" s="5">
        <v>1039.782494715369</v>
      </c>
      <c r="L516" s="5">
        <v>994.74623843228756</v>
      </c>
      <c r="M516" s="5">
        <v>1044.4581539175761</v>
      </c>
      <c r="N516" s="5">
        <v>990.37004437426231</v>
      </c>
      <c r="O516" s="5">
        <v>1015.382636946237</v>
      </c>
      <c r="P516">
        <v>1014.159687837795</v>
      </c>
      <c r="Q516" s="5">
        <v>994.59045539972499</v>
      </c>
      <c r="R516" s="5">
        <v>1044.536743164062</v>
      </c>
      <c r="S516" s="5">
        <v>1053.1490478515625</v>
      </c>
      <c r="T516" s="5">
        <v>1026.1486983227483</v>
      </c>
      <c r="U516" s="5">
        <v>1052.9695775371499</v>
      </c>
      <c r="V516" s="5">
        <v>954.89502145442327</v>
      </c>
      <c r="W516" s="5">
        <v>817.38752496413554</v>
      </c>
    </row>
    <row r="517" spans="1:25">
      <c r="A517">
        <v>100</v>
      </c>
      <c r="B517">
        <v>1.9</v>
      </c>
      <c r="C517">
        <v>404</v>
      </c>
      <c r="D517">
        <v>97.28</v>
      </c>
      <c r="E517">
        <v>3</v>
      </c>
      <c r="F517">
        <v>1125</v>
      </c>
      <c r="G517" s="35">
        <v>1127.5</v>
      </c>
      <c r="H517" s="5">
        <v>868.52586444894246</v>
      </c>
      <c r="I517" s="5">
        <v>868.52593567256781</v>
      </c>
      <c r="J517" s="5">
        <v>868.51199973344569</v>
      </c>
      <c r="K517" s="5">
        <v>891.5333333333333</v>
      </c>
      <c r="L517" s="5">
        <v>1130.576096840661</v>
      </c>
      <c r="M517" s="5">
        <v>1127.5</v>
      </c>
      <c r="N517" s="5">
        <v>1143.1764653548039</v>
      </c>
      <c r="O517" s="5">
        <v>1105.6588019065271</v>
      </c>
      <c r="P517">
        <v>1107.3110512303881</v>
      </c>
      <c r="Q517" s="5">
        <v>1043.120319042823</v>
      </c>
      <c r="R517" s="5">
        <v>1127.975830078125</v>
      </c>
      <c r="S517" s="5">
        <v>1063.825439453125</v>
      </c>
      <c r="T517" s="5">
        <v>1139.7584380600542</v>
      </c>
      <c r="U517" s="5">
        <v>1090.3101759133272</v>
      </c>
      <c r="V517" s="5">
        <v>919.562469477646</v>
      </c>
    </row>
    <row r="518" spans="1:25">
      <c r="A518">
        <v>273</v>
      </c>
      <c r="B518">
        <v>8</v>
      </c>
      <c r="C518">
        <v>306.7</v>
      </c>
      <c r="D518">
        <v>40.28</v>
      </c>
      <c r="E518">
        <v>4.0293040293040292</v>
      </c>
      <c r="F518">
        <v>5194</v>
      </c>
      <c r="G518" s="35">
        <v>4887.4078917557954</v>
      </c>
      <c r="H518" s="5">
        <v>6896.0152017542459</v>
      </c>
      <c r="I518" s="5">
        <v>6896.0147336146329</v>
      </c>
      <c r="J518" s="5">
        <v>6895.9782592008596</v>
      </c>
      <c r="K518" s="5">
        <v>6896.4076014471329</v>
      </c>
      <c r="L518" s="5">
        <v>5248.5645031344038</v>
      </c>
      <c r="M518" s="5">
        <v>5152.6537779108021</v>
      </c>
      <c r="N518" s="5">
        <v>4752.6021619555559</v>
      </c>
      <c r="O518" s="5">
        <v>5737.9099105532196</v>
      </c>
      <c r="P518">
        <v>5539.3848366557177</v>
      </c>
      <c r="Q518" s="5">
        <v>5093.3205095018866</v>
      </c>
      <c r="R518" s="5">
        <v>5228.56689453125</v>
      </c>
      <c r="S518" s="5">
        <v>5471.22021484375</v>
      </c>
      <c r="T518" s="5">
        <v>5402.6366815676174</v>
      </c>
      <c r="U518" s="5">
        <v>5398.6507632621197</v>
      </c>
      <c r="V518" s="5">
        <v>4722.6798477490074</v>
      </c>
      <c r="W518" s="5">
        <v>4916.5190489537272</v>
      </c>
      <c r="X518" s="5">
        <v>4802.7764877458512</v>
      </c>
      <c r="Y518" s="5">
        <v>3978.3477794552282</v>
      </c>
    </row>
    <row r="519" spans="1:25">
      <c r="A519">
        <v>47.28</v>
      </c>
      <c r="B519">
        <v>1.87</v>
      </c>
      <c r="C519">
        <v>360</v>
      </c>
      <c r="D519">
        <v>24.112171481524499</v>
      </c>
      <c r="E519">
        <v>7.1912013536379016</v>
      </c>
      <c r="F519">
        <v>145</v>
      </c>
      <c r="G519" s="35">
        <v>203.77591410491371</v>
      </c>
      <c r="H519" s="5">
        <v>-1765.2142248886471</v>
      </c>
      <c r="I519" s="5">
        <v>-1765.214029667289</v>
      </c>
      <c r="J519" s="5">
        <v>-1765.2570319405611</v>
      </c>
      <c r="K519" s="5">
        <v>186.4545454545455</v>
      </c>
      <c r="L519" s="5">
        <v>201.70945970695971</v>
      </c>
      <c r="M519" s="5">
        <v>208.46844660194171</v>
      </c>
      <c r="N519" s="5">
        <v>188.1228365499947</v>
      </c>
      <c r="O519" s="5">
        <v>178.58827114386321</v>
      </c>
      <c r="P519">
        <v>185.58532450348511</v>
      </c>
      <c r="Q519" s="5">
        <v>186.6279721799493</v>
      </c>
      <c r="R519" s="5">
        <v>172.07026672363281</v>
      </c>
      <c r="S519" s="5">
        <v>181.24977111816406</v>
      </c>
      <c r="T519" s="5">
        <v>150.12428149036077</v>
      </c>
      <c r="U519" s="5">
        <v>191.48312208042265</v>
      </c>
      <c r="V519" s="5">
        <v>171.93311847236191</v>
      </c>
      <c r="W519" s="5">
        <v>162.09298859484457</v>
      </c>
      <c r="Y519" s="5">
        <v>125.4691679300674</v>
      </c>
    </row>
    <row r="520" spans="1:25">
      <c r="A520">
        <v>47.28</v>
      </c>
      <c r="B520">
        <v>1.87</v>
      </c>
      <c r="C520">
        <v>360</v>
      </c>
      <c r="D520">
        <v>32.791465757458397</v>
      </c>
      <c r="E520">
        <v>7.1912013536379016</v>
      </c>
      <c r="F520">
        <v>246</v>
      </c>
      <c r="G520" s="35">
        <v>221.07314994441731</v>
      </c>
      <c r="H520" s="5">
        <v>-1626.143430372563</v>
      </c>
      <c r="I520" s="5">
        <v>-1626.1432683623041</v>
      </c>
      <c r="J520" s="5">
        <v>-1626.193740188756</v>
      </c>
      <c r="K520" s="5">
        <v>186.4545454545455</v>
      </c>
      <c r="L520" s="5">
        <v>220.59040865384611</v>
      </c>
      <c r="M520" s="5">
        <v>228.95631067961159</v>
      </c>
      <c r="N520" s="5">
        <v>189.1922774172867</v>
      </c>
      <c r="O520" s="5">
        <v>190.5855388444306</v>
      </c>
      <c r="P520">
        <v>189.50473405213171</v>
      </c>
      <c r="Q520" s="5">
        <v>216.26158834148691</v>
      </c>
      <c r="R520" s="5">
        <v>199.4999694824219</v>
      </c>
      <c r="S520" s="5">
        <v>239.3717041015625</v>
      </c>
      <c r="T520" s="5">
        <v>149.66314150016424</v>
      </c>
      <c r="U520" s="5">
        <v>204.40575905994672</v>
      </c>
      <c r="V520" s="5">
        <v>182.2712280559812</v>
      </c>
      <c r="W520" s="5">
        <v>181.39497948383061</v>
      </c>
      <c r="X520" s="5">
        <v>147.88972840028211</v>
      </c>
      <c r="Y520" s="5">
        <v>137.01659493106391</v>
      </c>
    </row>
    <row r="521" spans="1:25">
      <c r="A521">
        <v>108</v>
      </c>
      <c r="B521">
        <v>10</v>
      </c>
      <c r="C521">
        <v>366.2</v>
      </c>
      <c r="D521">
        <v>76.720000000000013</v>
      </c>
      <c r="E521">
        <v>3</v>
      </c>
      <c r="F521">
        <v>2273</v>
      </c>
      <c r="G521" s="35">
        <v>2185.1828410689168</v>
      </c>
      <c r="H521" s="5">
        <v>3008.0550091910081</v>
      </c>
      <c r="I521" s="5">
        <v>3008.0555356831601</v>
      </c>
      <c r="J521" s="5">
        <v>3008.0118909025882</v>
      </c>
      <c r="K521" s="5">
        <v>2075.818181818182</v>
      </c>
      <c r="L521" s="5">
        <v>2182.0417019230772</v>
      </c>
      <c r="M521" s="5">
        <v>2185.3786407766988</v>
      </c>
      <c r="N521" s="5">
        <v>2148.8353614804619</v>
      </c>
      <c r="O521" s="5">
        <v>2138.0031523605039</v>
      </c>
      <c r="P521">
        <v>2128.7300516748942</v>
      </c>
      <c r="Q521" s="5">
        <v>2131.74118404617</v>
      </c>
      <c r="R521" s="5">
        <v>2185.105224609375</v>
      </c>
      <c r="S521" s="5">
        <v>2207.62060546875</v>
      </c>
      <c r="T521" s="5">
        <v>2252.2441452218186</v>
      </c>
      <c r="U521" s="5">
        <v>2293.076877852779</v>
      </c>
      <c r="V521" s="5">
        <v>2037.2991083705497</v>
      </c>
    </row>
    <row r="522" spans="1:25">
      <c r="A522">
        <v>630</v>
      </c>
      <c r="B522">
        <v>8.44</v>
      </c>
      <c r="C522">
        <v>350</v>
      </c>
      <c r="D522">
        <v>34.5</v>
      </c>
      <c r="E522">
        <v>3</v>
      </c>
      <c r="F522">
        <v>18600</v>
      </c>
      <c r="G522" s="35">
        <v>21683.677368058528</v>
      </c>
      <c r="H522" s="5">
        <v>18325.550838914951</v>
      </c>
      <c r="I522" s="5">
        <v>18325.548347389471</v>
      </c>
      <c r="J522" s="5">
        <v>18325.450398256118</v>
      </c>
      <c r="K522" s="5">
        <v>24981</v>
      </c>
      <c r="L522" s="5">
        <v>24514.601281961321</v>
      </c>
      <c r="M522" s="5">
        <v>21626.318414244779</v>
      </c>
      <c r="N522" s="5">
        <v>20022.34398361768</v>
      </c>
      <c r="O522" s="5">
        <v>18422.77212687859</v>
      </c>
      <c r="P522">
        <v>19938.89063718935</v>
      </c>
      <c r="Q522" s="5">
        <v>28830.000000000018</v>
      </c>
      <c r="R522" s="5">
        <v>21177.5546875</v>
      </c>
      <c r="S522" s="5">
        <v>18704.962890625</v>
      </c>
      <c r="T522" s="5">
        <v>18592.599558386755</v>
      </c>
      <c r="U522" s="5">
        <v>19530.463481773495</v>
      </c>
      <c r="V522" s="5">
        <v>16785.082048867414</v>
      </c>
      <c r="W522" s="5">
        <v>15637.04724162365</v>
      </c>
      <c r="Y522" s="5">
        <v>15314.367841595589</v>
      </c>
    </row>
    <row r="523" spans="1:25">
      <c r="A523">
        <v>168.2</v>
      </c>
      <c r="B523">
        <v>4.5199999999999996</v>
      </c>
      <c r="C523">
        <v>302</v>
      </c>
      <c r="D523">
        <v>31.9</v>
      </c>
      <c r="E523">
        <v>4.833531510107016</v>
      </c>
      <c r="F523">
        <v>2006</v>
      </c>
      <c r="G523" s="35">
        <v>2115.1649050092192</v>
      </c>
      <c r="H523" s="5">
        <v>2513.215411219709</v>
      </c>
      <c r="I523" s="5">
        <v>2513.2153134799441</v>
      </c>
      <c r="J523" s="5">
        <v>2513.203496855192</v>
      </c>
      <c r="K523" s="5">
        <v>2142.4</v>
      </c>
      <c r="L523" s="5">
        <v>1705.7950543155221</v>
      </c>
      <c r="M523" s="5">
        <v>1805.2313547948211</v>
      </c>
      <c r="N523" s="5">
        <v>1767.0599239743931</v>
      </c>
      <c r="O523" s="5">
        <v>1629.988254146796</v>
      </c>
      <c r="P523">
        <v>1659.9181711152801</v>
      </c>
      <c r="Q523" s="5">
        <v>1698.8205238661239</v>
      </c>
      <c r="R523" s="5">
        <v>1821.291870117188</v>
      </c>
      <c r="S523" s="5">
        <v>1635.9656982421875</v>
      </c>
      <c r="T523" s="5">
        <v>1730.3822060192604</v>
      </c>
      <c r="U523" s="5">
        <v>1771.7895739448113</v>
      </c>
      <c r="V523" s="5">
        <v>1556.5717249259778</v>
      </c>
      <c r="W523" s="5">
        <v>1620.9105583005019</v>
      </c>
      <c r="X523" s="5">
        <v>1524.1927571104211</v>
      </c>
      <c r="Y523" s="5">
        <v>1283.3149189572571</v>
      </c>
    </row>
    <row r="524" spans="1:25">
      <c r="A524">
        <v>100</v>
      </c>
      <c r="B524">
        <v>2.5</v>
      </c>
      <c r="C524">
        <v>433.2</v>
      </c>
      <c r="D524">
        <v>45.77</v>
      </c>
      <c r="E524">
        <v>3</v>
      </c>
      <c r="F524">
        <v>828</v>
      </c>
      <c r="G524" s="35">
        <v>811.36062871900583</v>
      </c>
      <c r="H524" s="5">
        <v>286.40037979598861</v>
      </c>
      <c r="I524" s="5">
        <v>286.40067637458469</v>
      </c>
      <c r="J524" s="5">
        <v>286.42691980723021</v>
      </c>
      <c r="K524" s="5">
        <v>804.39</v>
      </c>
      <c r="L524" s="5">
        <v>832.71611002212853</v>
      </c>
      <c r="M524" s="5">
        <v>814.58043997534298</v>
      </c>
      <c r="N524" s="5">
        <v>882.77722962514861</v>
      </c>
      <c r="O524" s="5">
        <v>846.99009759869102</v>
      </c>
      <c r="P524">
        <v>825.94684580182366</v>
      </c>
      <c r="Q524" s="5">
        <v>855.82500992714188</v>
      </c>
      <c r="R524" s="5">
        <v>878.2913818359375</v>
      </c>
      <c r="S524" s="5">
        <v>989.202880859375</v>
      </c>
      <c r="T524" s="5">
        <v>937.79422893079391</v>
      </c>
      <c r="U524" s="5">
        <v>861.8281253809505</v>
      </c>
      <c r="V524" s="5">
        <v>755.3624047640817</v>
      </c>
      <c r="W524" s="5">
        <v>812.48593902683444</v>
      </c>
      <c r="X524" s="5">
        <v>790.78929909481292</v>
      </c>
      <c r="Y524" s="5">
        <v>634.30710331633611</v>
      </c>
    </row>
    <row r="525" spans="1:25">
      <c r="A525">
        <v>127</v>
      </c>
      <c r="B525">
        <v>2</v>
      </c>
      <c r="C525">
        <v>258</v>
      </c>
      <c r="D525">
        <v>67.760000000000005</v>
      </c>
      <c r="E525">
        <v>3.5039370078740162</v>
      </c>
      <c r="F525">
        <v>1491</v>
      </c>
      <c r="G525" s="35">
        <v>1339</v>
      </c>
      <c r="H525" s="5">
        <v>887.91758433549626</v>
      </c>
      <c r="I525" s="5">
        <v>887.91767048646147</v>
      </c>
      <c r="J525" s="5">
        <v>887.94345296008782</v>
      </c>
      <c r="K525" s="5">
        <v>1314.3</v>
      </c>
      <c r="L525" s="5">
        <v>1335.746983629565</v>
      </c>
      <c r="M525" s="5">
        <v>1338.734627831715</v>
      </c>
      <c r="N525" s="5">
        <v>1376.612437343606</v>
      </c>
      <c r="O525" s="5">
        <v>1383.169430391064</v>
      </c>
      <c r="P525">
        <v>1284.1232103127691</v>
      </c>
      <c r="Q525" s="5">
        <v>1299.415407253445</v>
      </c>
      <c r="R525" s="5">
        <v>1335.358032226562</v>
      </c>
      <c r="S525" s="5">
        <v>1328.7698974609375</v>
      </c>
      <c r="T525" s="5">
        <v>1248.576273467899</v>
      </c>
      <c r="U525" s="5">
        <v>1133.4089064129478</v>
      </c>
      <c r="V525" s="5">
        <v>947.39891554117435</v>
      </c>
      <c r="Y525" s="5">
        <v>954.13657478836888</v>
      </c>
    </row>
    <row r="526" spans="1:25">
      <c r="A526">
        <v>200</v>
      </c>
      <c r="B526">
        <v>6</v>
      </c>
      <c r="C526">
        <v>451</v>
      </c>
      <c r="D526">
        <v>80.5</v>
      </c>
      <c r="E526">
        <v>3.4750000000000001</v>
      </c>
      <c r="F526">
        <v>4463</v>
      </c>
      <c r="G526" s="35">
        <v>4423</v>
      </c>
      <c r="H526" s="5">
        <v>5179.5724375065311</v>
      </c>
      <c r="I526" s="5">
        <v>5179.5720792366701</v>
      </c>
      <c r="J526" s="5">
        <v>5179.5065435707093</v>
      </c>
      <c r="K526" s="5">
        <v>4184.8835822559413</v>
      </c>
      <c r="L526" s="5">
        <v>4452.3027897427628</v>
      </c>
      <c r="M526" s="5">
        <v>4423</v>
      </c>
      <c r="N526" s="5">
        <v>4596.5469385226552</v>
      </c>
      <c r="O526" s="5">
        <v>4500.7680929593071</v>
      </c>
      <c r="P526">
        <v>4494.4926438155017</v>
      </c>
      <c r="Q526" s="5">
        <v>4423.0000000000027</v>
      </c>
      <c r="R526" s="5">
        <v>4419.52880859375</v>
      </c>
      <c r="S526" s="5">
        <v>4465.10400390625</v>
      </c>
      <c r="T526" s="5">
        <v>4737.0661941908829</v>
      </c>
      <c r="U526" s="5">
        <v>4906.3499055076745</v>
      </c>
      <c r="V526" s="5">
        <v>4250.7997442709502</v>
      </c>
      <c r="W526" s="5">
        <v>4621.0830388987915</v>
      </c>
    </row>
    <row r="527" spans="1:25">
      <c r="A527">
        <v>121</v>
      </c>
      <c r="B527">
        <v>12</v>
      </c>
      <c r="C527">
        <v>294.2</v>
      </c>
      <c r="D527">
        <v>26.39538963236653</v>
      </c>
      <c r="E527">
        <v>4.1322314049586772</v>
      </c>
      <c r="F527">
        <v>2589</v>
      </c>
      <c r="G527" s="35">
        <v>1873</v>
      </c>
      <c r="H527" s="5">
        <v>2775.290296243018</v>
      </c>
      <c r="I527" s="5">
        <v>2775.290997201037</v>
      </c>
      <c r="J527" s="5">
        <v>2775.25335946013</v>
      </c>
      <c r="K527" s="5">
        <v>2469.504230798037</v>
      </c>
      <c r="L527" s="5">
        <v>2094.7423234894468</v>
      </c>
      <c r="M527" s="5">
        <v>1873</v>
      </c>
      <c r="N527" s="5">
        <v>2256.6140192602338</v>
      </c>
      <c r="O527" s="5">
        <v>2137.55200598076</v>
      </c>
      <c r="P527">
        <v>2140.5607081554599</v>
      </c>
      <c r="Q527" s="5">
        <v>2210.4991716316149</v>
      </c>
      <c r="R527" s="5">
        <v>1879.071899414062</v>
      </c>
      <c r="S527" s="5">
        <v>2449.3388671875</v>
      </c>
      <c r="T527" s="5">
        <v>2386.3222074195314</v>
      </c>
      <c r="U527" s="5">
        <v>2153.5196266789444</v>
      </c>
      <c r="V527" s="5">
        <v>1937.5954970522614</v>
      </c>
      <c r="W527" s="5">
        <v>1675.2485626649473</v>
      </c>
      <c r="Y527" s="5">
        <v>1378.81930220442</v>
      </c>
    </row>
    <row r="528" spans="1:25">
      <c r="A528">
        <v>127</v>
      </c>
      <c r="B528">
        <v>4.2</v>
      </c>
      <c r="C528">
        <v>349</v>
      </c>
      <c r="D528">
        <v>84.2</v>
      </c>
      <c r="E528">
        <v>3.7795275590551181</v>
      </c>
      <c r="F528">
        <v>2254</v>
      </c>
      <c r="G528" s="35">
        <v>2245</v>
      </c>
      <c r="H528" s="5">
        <v>2067.8780281896811</v>
      </c>
      <c r="I528" s="5">
        <v>2067.878072698295</v>
      </c>
      <c r="J528" s="5">
        <v>2067.848113585535</v>
      </c>
      <c r="K528" s="5">
        <v>2156.3000000000002</v>
      </c>
      <c r="L528" s="5">
        <v>2044.4790968892221</v>
      </c>
      <c r="M528" s="5">
        <v>2245</v>
      </c>
      <c r="N528" s="5">
        <v>1968.8753990573989</v>
      </c>
      <c r="O528" s="5">
        <v>2130.3049621515779</v>
      </c>
      <c r="P528">
        <v>2012.8746794118531</v>
      </c>
      <c r="Q528" s="5">
        <v>1924.2705586154141</v>
      </c>
      <c r="R528" s="5">
        <v>2241.880615234375</v>
      </c>
      <c r="S528" s="5">
        <v>1904.1578369140625</v>
      </c>
      <c r="T528" s="5">
        <v>1881.3932023829555</v>
      </c>
      <c r="U528" s="5">
        <v>1846.2789637035378</v>
      </c>
      <c r="V528" s="5">
        <v>1588.2955778269893</v>
      </c>
    </row>
    <row r="529" spans="1:25">
      <c r="A529">
        <v>155.6</v>
      </c>
      <c r="B529">
        <v>2.63</v>
      </c>
      <c r="C529">
        <v>356.1</v>
      </c>
      <c r="D529">
        <v>23</v>
      </c>
      <c r="E529">
        <v>3.020565552699229</v>
      </c>
      <c r="F529">
        <v>1300</v>
      </c>
      <c r="G529" s="35">
        <v>1398.404230362265</v>
      </c>
      <c r="H529" s="5">
        <v>1509.7413485204661</v>
      </c>
      <c r="I529" s="5">
        <v>1509.741431726532</v>
      </c>
      <c r="J529" s="5">
        <v>1509.7840422535171</v>
      </c>
      <c r="K529" s="5">
        <v>1295.829075636364</v>
      </c>
      <c r="L529" s="5">
        <v>1212.135406380736</v>
      </c>
      <c r="M529" s="5">
        <v>1244.473222411169</v>
      </c>
      <c r="N529" s="5">
        <v>1045.977208092698</v>
      </c>
      <c r="O529" s="5">
        <v>1096.1105492346969</v>
      </c>
      <c r="P529">
        <v>1197.90093141336</v>
      </c>
      <c r="Q529" s="5">
        <v>1080.4882960836919</v>
      </c>
      <c r="R529" s="5">
        <v>1255.133666992188</v>
      </c>
      <c r="S529" s="5">
        <v>1325.460205078125</v>
      </c>
      <c r="T529" s="5">
        <v>1200.6637006102399</v>
      </c>
      <c r="U529" s="5">
        <v>1137.4079549673631</v>
      </c>
      <c r="V529" s="5">
        <v>1000.1505365185019</v>
      </c>
      <c r="W529" s="5">
        <v>927.27483297057972</v>
      </c>
      <c r="Y529" s="5">
        <v>832.02493368090484</v>
      </c>
    </row>
    <row r="530" spans="1:25">
      <c r="A530">
        <v>114.26</v>
      </c>
      <c r="B530">
        <v>3.93</v>
      </c>
      <c r="C530">
        <v>343</v>
      </c>
      <c r="D530">
        <v>77.760000000000005</v>
      </c>
      <c r="E530">
        <v>2.625590757920532</v>
      </c>
      <c r="F530">
        <v>1359</v>
      </c>
      <c r="G530" s="35">
        <v>1226.1374616670971</v>
      </c>
      <c r="H530" s="5">
        <v>1375.5025291723371</v>
      </c>
      <c r="I530" s="5">
        <v>1375.5027792937869</v>
      </c>
      <c r="J530" s="5">
        <v>1375.511549299079</v>
      </c>
      <c r="K530" s="5">
        <v>1887.4444444444439</v>
      </c>
      <c r="L530" s="5">
        <v>1296.594707268531</v>
      </c>
      <c r="M530" s="5">
        <v>1205.9479753591099</v>
      </c>
      <c r="N530" s="5">
        <v>1461.011676426004</v>
      </c>
      <c r="O530" s="5">
        <v>1372.8044785907109</v>
      </c>
      <c r="P530">
        <v>1468.3003368323159</v>
      </c>
      <c r="Q530" s="5">
        <v>1335.2576458165379</v>
      </c>
      <c r="R530" s="5">
        <v>1399.058227539062</v>
      </c>
      <c r="S530" s="5">
        <v>1192.135986328125</v>
      </c>
      <c r="T530" s="5">
        <v>1523.7649229793492</v>
      </c>
      <c r="U530" s="5">
        <v>1448.3116480642823</v>
      </c>
      <c r="V530" s="5">
        <v>1250.4391081042645</v>
      </c>
    </row>
    <row r="531" spans="1:25">
      <c r="A531">
        <v>120</v>
      </c>
      <c r="B531">
        <v>2</v>
      </c>
      <c r="C531">
        <v>216</v>
      </c>
      <c r="D531">
        <v>19.224</v>
      </c>
      <c r="E531">
        <v>4.166666666666667</v>
      </c>
      <c r="F531">
        <v>514</v>
      </c>
      <c r="G531" s="35">
        <v>534.56170371722669</v>
      </c>
      <c r="H531" s="5">
        <v>-211.2341151963119</v>
      </c>
      <c r="I531" s="5">
        <v>-211.23389332392529</v>
      </c>
      <c r="J531" s="5">
        <v>-211.18381900053191</v>
      </c>
      <c r="K531" s="5">
        <v>477.51</v>
      </c>
      <c r="L531" s="5">
        <v>601.14021539244038</v>
      </c>
      <c r="M531" s="5">
        <v>521.3945388349515</v>
      </c>
      <c r="N531" s="5">
        <v>557.54432097838549</v>
      </c>
      <c r="O531" s="5">
        <v>516.80547860978425</v>
      </c>
      <c r="P531">
        <v>566.94622074189897</v>
      </c>
      <c r="Q531" s="5">
        <v>651.26298252944468</v>
      </c>
      <c r="R531" s="5">
        <v>512.4034423828125</v>
      </c>
      <c r="S531" s="5">
        <v>582.8497314453125</v>
      </c>
      <c r="T531" s="5">
        <v>607.69487148131725</v>
      </c>
      <c r="U531" s="5">
        <v>462.60157912587783</v>
      </c>
      <c r="V531" s="5">
        <v>402.19317735163162</v>
      </c>
      <c r="W531" s="5">
        <v>391.25133882908091</v>
      </c>
    </row>
    <row r="532" spans="1:25">
      <c r="A532">
        <v>114.3</v>
      </c>
      <c r="B532">
        <v>2.74</v>
      </c>
      <c r="C532">
        <v>235</v>
      </c>
      <c r="D532">
        <v>56.2</v>
      </c>
      <c r="E532">
        <v>5.2493438320209984</v>
      </c>
      <c r="F532">
        <v>947.75</v>
      </c>
      <c r="G532" s="35">
        <v>948.04577436610157</v>
      </c>
      <c r="H532" s="5">
        <v>548.21836895183287</v>
      </c>
      <c r="I532" s="5">
        <v>548.21842427917863</v>
      </c>
      <c r="J532" s="5">
        <v>548.21153153526984</v>
      </c>
      <c r="K532" s="5">
        <v>877.17363636363632</v>
      </c>
      <c r="L532" s="5">
        <v>906.30692838724769</v>
      </c>
      <c r="M532" s="5">
        <v>915.2517071197401</v>
      </c>
      <c r="N532" s="5">
        <v>892.59323576836891</v>
      </c>
      <c r="O532" s="5">
        <v>893.35762253694486</v>
      </c>
      <c r="P532">
        <v>914.13196054202422</v>
      </c>
      <c r="Q532" s="5">
        <v>1036.298233160707</v>
      </c>
      <c r="R532" s="5">
        <v>901.024169921875</v>
      </c>
      <c r="S532" s="5">
        <v>1001.6019287109375</v>
      </c>
      <c r="T532" s="5">
        <v>882.15054282255585</v>
      </c>
      <c r="U532" s="5">
        <v>888.27724042709451</v>
      </c>
      <c r="V532" s="5">
        <v>755.50563392114168</v>
      </c>
      <c r="X532" s="5">
        <v>785.32360052668218</v>
      </c>
      <c r="Y532" s="5">
        <v>705.69596892588106</v>
      </c>
    </row>
    <row r="533" spans="1:25">
      <c r="A533">
        <v>166</v>
      </c>
      <c r="B533">
        <v>5</v>
      </c>
      <c r="C533">
        <v>274.39999999999998</v>
      </c>
      <c r="D533">
        <v>29.62</v>
      </c>
      <c r="E533">
        <v>3.975903614457831</v>
      </c>
      <c r="F533">
        <v>1872</v>
      </c>
      <c r="G533" s="35">
        <v>1943.666666666667</v>
      </c>
      <c r="H533" s="5">
        <v>2373.446289098229</v>
      </c>
      <c r="I533" s="5">
        <v>2373.4463745214812</v>
      </c>
      <c r="J533" s="5">
        <v>2373.4607090334111</v>
      </c>
      <c r="K533" s="5">
        <v>1897.3370269299439</v>
      </c>
      <c r="L533" s="5">
        <v>1897.540259647498</v>
      </c>
      <c r="M533" s="5">
        <v>1894.5692483058101</v>
      </c>
      <c r="N533" s="5">
        <v>1894.144861108296</v>
      </c>
      <c r="O533" s="5">
        <v>1916.4362424484059</v>
      </c>
      <c r="P533">
        <v>1895.477720981899</v>
      </c>
      <c r="Q533" s="5">
        <v>1791.1637674292961</v>
      </c>
      <c r="R533" s="5">
        <v>1886.876831054688</v>
      </c>
      <c r="S533" s="5">
        <v>1917.22314453125</v>
      </c>
      <c r="T533" s="5">
        <v>1814.8103786117317</v>
      </c>
      <c r="U533" s="5">
        <v>1690.3437290330673</v>
      </c>
      <c r="V533" s="5">
        <v>1489.3102909377585</v>
      </c>
      <c r="W533" s="5">
        <v>1541.9718731273672</v>
      </c>
      <c r="X533" s="5">
        <v>1514.976847697214</v>
      </c>
      <c r="Y533" s="5">
        <v>1219.312908405215</v>
      </c>
    </row>
    <row r="534" spans="1:25">
      <c r="A534">
        <v>114.3</v>
      </c>
      <c r="B534">
        <v>6</v>
      </c>
      <c r="C534">
        <v>342.95</v>
      </c>
      <c r="D534">
        <v>32.68</v>
      </c>
      <c r="E534">
        <v>5</v>
      </c>
      <c r="F534">
        <v>1016.6</v>
      </c>
      <c r="G534" s="35">
        <v>1021.027717568195</v>
      </c>
      <c r="H534" s="5">
        <v>1353.408209912179</v>
      </c>
      <c r="I534" s="5">
        <v>1353.408446521958</v>
      </c>
      <c r="J534" s="5">
        <v>1353.3799429972721</v>
      </c>
      <c r="K534" s="5">
        <v>1141.1714285714279</v>
      </c>
      <c r="L534" s="5">
        <v>1090.52767041523</v>
      </c>
      <c r="M534" s="5">
        <v>1073.9533980582501</v>
      </c>
      <c r="N534" s="5">
        <v>1100.9999981822241</v>
      </c>
      <c r="O534" s="5">
        <v>1138.4782916053309</v>
      </c>
      <c r="P534">
        <v>1093.9238520368731</v>
      </c>
      <c r="Q534" s="5">
        <v>1300.8373928565429</v>
      </c>
      <c r="R534" s="5">
        <v>1157.23095703125</v>
      </c>
      <c r="S534" s="5">
        <v>972.759765625</v>
      </c>
      <c r="T534" s="5">
        <v>1312.9038770372429</v>
      </c>
      <c r="U534" s="5">
        <v>1402.7734383410998</v>
      </c>
      <c r="V534" s="5">
        <v>1256.5559629253569</v>
      </c>
      <c r="W534" s="5">
        <v>1211.6899772895686</v>
      </c>
      <c r="X534" s="5">
        <v>1118.773809280912</v>
      </c>
      <c r="Y534" s="5">
        <v>938.13161854388397</v>
      </c>
    </row>
    <row r="535" spans="1:25">
      <c r="A535">
        <v>108</v>
      </c>
      <c r="B535">
        <v>4.5</v>
      </c>
      <c r="C535">
        <v>358</v>
      </c>
      <c r="D535">
        <v>61.920000000000009</v>
      </c>
      <c r="E535">
        <v>3.5</v>
      </c>
      <c r="F535">
        <v>1518</v>
      </c>
      <c r="G535" s="35">
        <v>1556.5</v>
      </c>
      <c r="H535" s="5">
        <v>1193.2452534389161</v>
      </c>
      <c r="I535" s="5">
        <v>1193.2455188672971</v>
      </c>
      <c r="J535" s="5">
        <v>1193.236645556507</v>
      </c>
      <c r="K535" s="5">
        <v>1592.125</v>
      </c>
      <c r="L535" s="5">
        <v>1512.6199005793001</v>
      </c>
      <c r="M535" s="5">
        <v>1555.3394590846051</v>
      </c>
      <c r="N535" s="5">
        <v>1461.8484549126169</v>
      </c>
      <c r="O535" s="5">
        <v>1488.1777534871269</v>
      </c>
      <c r="P535">
        <v>1450.1201335404351</v>
      </c>
      <c r="Q535" s="5">
        <v>1499.1788978740351</v>
      </c>
      <c r="R535" s="5">
        <v>1550.442749023438</v>
      </c>
      <c r="S535" s="5">
        <v>1513.48046875</v>
      </c>
      <c r="T535" s="5">
        <v>1393.2377518198664</v>
      </c>
      <c r="U535" s="5">
        <v>1325.236407380806</v>
      </c>
      <c r="V535" s="5">
        <v>1162.1636835552797</v>
      </c>
      <c r="W535" s="5">
        <v>1251.1398696233855</v>
      </c>
      <c r="Y535" s="5">
        <v>966.1726650299023</v>
      </c>
    </row>
    <row r="536" spans="1:25">
      <c r="A536">
        <v>114.3</v>
      </c>
      <c r="B536">
        <v>3.35</v>
      </c>
      <c r="C536">
        <v>287.33</v>
      </c>
      <c r="D536">
        <v>32.68</v>
      </c>
      <c r="E536">
        <v>5</v>
      </c>
      <c r="F536">
        <v>739.5</v>
      </c>
      <c r="G536" s="35">
        <v>796.02498240627938</v>
      </c>
      <c r="H536" s="5">
        <v>451.54198430971587</v>
      </c>
      <c r="I536" s="5">
        <v>451.54213567313172</v>
      </c>
      <c r="J536" s="5">
        <v>451.54341374406499</v>
      </c>
      <c r="K536" s="5">
        <v>767.57145591132382</v>
      </c>
      <c r="L536" s="5">
        <v>717.61794700005623</v>
      </c>
      <c r="M536" s="5">
        <v>718.36035604806284</v>
      </c>
      <c r="N536" s="5">
        <v>760.0855168023437</v>
      </c>
      <c r="O536" s="5">
        <v>712.26860926083475</v>
      </c>
      <c r="P536">
        <v>739.19127450502663</v>
      </c>
      <c r="Q536" s="5">
        <v>782.04443799860667</v>
      </c>
      <c r="R536" s="5">
        <v>650.988037109375</v>
      </c>
      <c r="S536" s="5">
        <v>944.238037109375</v>
      </c>
      <c r="T536" s="5">
        <v>871.72174440813376</v>
      </c>
      <c r="U536" s="5">
        <v>840.68724796059166</v>
      </c>
      <c r="V536" s="5">
        <v>738.86658165426229</v>
      </c>
      <c r="W536" s="5">
        <v>787.47590714159048</v>
      </c>
      <c r="X536" s="5">
        <v>718.07449025984442</v>
      </c>
      <c r="Y536" s="5">
        <v>607.32176265865928</v>
      </c>
    </row>
    <row r="537" spans="1:25">
      <c r="A537">
        <v>108</v>
      </c>
      <c r="B537">
        <v>5.5</v>
      </c>
      <c r="C537">
        <v>383.1</v>
      </c>
      <c r="D537">
        <v>78.800000000000011</v>
      </c>
      <c r="E537">
        <v>3</v>
      </c>
      <c r="F537">
        <v>1809</v>
      </c>
      <c r="G537" s="35">
        <v>1847.271739371494</v>
      </c>
      <c r="H537" s="5">
        <v>1799.6386884210431</v>
      </c>
      <c r="I537" s="5">
        <v>1799.638985417459</v>
      </c>
      <c r="J537" s="5">
        <v>1799.616006825308</v>
      </c>
      <c r="K537" s="5">
        <v>1879.4145454545451</v>
      </c>
      <c r="L537" s="5">
        <v>1836.1726708144811</v>
      </c>
      <c r="M537" s="5">
        <v>1818.828155339806</v>
      </c>
      <c r="N537" s="5">
        <v>1894.9029158823171</v>
      </c>
      <c r="O537" s="5">
        <v>1887.384951947291</v>
      </c>
      <c r="P537">
        <v>1868.1553776407829</v>
      </c>
      <c r="Q537" s="5">
        <v>1861.9952418610519</v>
      </c>
      <c r="R537" s="5">
        <v>1843.240356445312</v>
      </c>
      <c r="S537" s="5">
        <v>1909.3643798828125</v>
      </c>
      <c r="T537" s="5">
        <v>1765.8965358386758</v>
      </c>
      <c r="U537" s="5">
        <v>1681.4839115331749</v>
      </c>
      <c r="V537" s="5">
        <v>1475.6604412819647</v>
      </c>
    </row>
    <row r="538" spans="1:25">
      <c r="A538">
        <v>112.56</v>
      </c>
      <c r="B538">
        <v>2.89</v>
      </c>
      <c r="C538">
        <v>360</v>
      </c>
      <c r="D538">
        <v>32.619339776920157</v>
      </c>
      <c r="E538">
        <v>3.020611229566454</v>
      </c>
      <c r="F538">
        <v>822</v>
      </c>
      <c r="G538" s="35">
        <v>742.97499049068392</v>
      </c>
      <c r="H538" s="5">
        <v>376.38933733514341</v>
      </c>
      <c r="I538" s="5">
        <v>376.38965260519632</v>
      </c>
      <c r="J538" s="5">
        <v>376.42656403163028</v>
      </c>
      <c r="K538" s="5">
        <v>760.875</v>
      </c>
      <c r="L538" s="5">
        <v>749.10795882101002</v>
      </c>
      <c r="M538" s="5">
        <v>744.22941339639317</v>
      </c>
      <c r="N538" s="5">
        <v>824.38722275628425</v>
      </c>
      <c r="O538" s="5">
        <v>848.68516339784151</v>
      </c>
      <c r="P538">
        <v>831.30614733423249</v>
      </c>
      <c r="Q538" s="5">
        <v>785.19060178251289</v>
      </c>
      <c r="R538" s="5">
        <v>779.7562255859375</v>
      </c>
      <c r="S538" s="5">
        <v>842.0057373046875</v>
      </c>
      <c r="T538" s="5">
        <v>941.19082003352412</v>
      </c>
      <c r="U538" s="5">
        <v>872.81063064724367</v>
      </c>
      <c r="V538" s="5">
        <v>769.40296789268018</v>
      </c>
      <c r="W538" s="5">
        <v>799.07226549061909</v>
      </c>
      <c r="X538" s="5">
        <v>808.94917881376659</v>
      </c>
      <c r="Y538" s="5">
        <v>631.34684401212974</v>
      </c>
    </row>
    <row r="539" spans="1:25">
      <c r="A539">
        <v>219.1</v>
      </c>
      <c r="B539">
        <v>6.3</v>
      </c>
      <c r="C539">
        <v>300</v>
      </c>
      <c r="D539">
        <v>140</v>
      </c>
      <c r="E539">
        <v>2.7384755819260609</v>
      </c>
      <c r="F539">
        <v>7569</v>
      </c>
      <c r="G539" s="35">
        <v>7400</v>
      </c>
      <c r="H539" s="5">
        <v>6098.9550139838238</v>
      </c>
      <c r="I539" s="5">
        <v>6098.9545210260412</v>
      </c>
      <c r="J539" s="5">
        <v>6098.8820246388841</v>
      </c>
      <c r="K539" s="5">
        <v>6170</v>
      </c>
      <c r="L539" s="5">
        <v>7214.3971153846151</v>
      </c>
      <c r="M539" s="5">
        <v>7400</v>
      </c>
      <c r="N539" s="5">
        <v>7137.4381440425814</v>
      </c>
      <c r="O539" s="5">
        <v>7080.8503211784328</v>
      </c>
      <c r="P539">
        <v>6954.783213650624</v>
      </c>
      <c r="Q539" s="5">
        <v>6915.9999999999982</v>
      </c>
      <c r="R539" s="5">
        <v>7354.41552734375</v>
      </c>
      <c r="S539" s="5">
        <v>6808.72021484375</v>
      </c>
      <c r="T539" s="5">
        <v>6758.6842222241858</v>
      </c>
      <c r="U539" s="5">
        <v>6508.2340194857998</v>
      </c>
      <c r="V539" s="5">
        <v>5638.4471975046072</v>
      </c>
    </row>
    <row r="540" spans="1:25">
      <c r="A540">
        <v>178</v>
      </c>
      <c r="B540">
        <v>9</v>
      </c>
      <c r="C540">
        <v>283.31411850000001</v>
      </c>
      <c r="D540">
        <v>45.4047895</v>
      </c>
      <c r="E540">
        <v>2.02247191011236</v>
      </c>
      <c r="F540">
        <v>3216.5812093935592</v>
      </c>
      <c r="G540" s="35">
        <v>2895.851657397468</v>
      </c>
      <c r="H540" s="5">
        <v>3991.1327101157549</v>
      </c>
      <c r="I540" s="5">
        <v>3991.133066597059</v>
      </c>
      <c r="J540" s="5">
        <v>3991.165094453027</v>
      </c>
      <c r="K540" s="5">
        <v>2958.2270356259241</v>
      </c>
      <c r="L540" s="5">
        <v>3011.4622512235328</v>
      </c>
      <c r="M540" s="5">
        <v>2935.7213074654051</v>
      </c>
      <c r="N540" s="5">
        <v>2650.3649022404779</v>
      </c>
      <c r="O540" s="5">
        <v>2809.6639484250559</v>
      </c>
      <c r="P540">
        <v>3416.1135744974249</v>
      </c>
      <c r="Q540" s="5">
        <v>2755.6686580475312</v>
      </c>
      <c r="R540" s="5">
        <v>2938.446044921875</v>
      </c>
      <c r="S540" s="5">
        <v>3545.175048828125</v>
      </c>
      <c r="T540" s="5">
        <v>3429.992031989686</v>
      </c>
      <c r="U540" s="5">
        <v>3106.0370726139163</v>
      </c>
      <c r="V540" s="5">
        <v>2745.287026507096</v>
      </c>
      <c r="W540" s="5">
        <v>2789.6422915430112</v>
      </c>
      <c r="X540" s="5">
        <v>2978.7578489997891</v>
      </c>
      <c r="Y540" s="5">
        <v>2214.8086141377448</v>
      </c>
    </row>
    <row r="541" spans="1:25">
      <c r="A541">
        <v>282</v>
      </c>
      <c r="B541">
        <v>4.3600000000000003</v>
      </c>
      <c r="C541">
        <v>322</v>
      </c>
      <c r="D541">
        <v>73.2</v>
      </c>
      <c r="E541">
        <v>2</v>
      </c>
      <c r="F541">
        <v>6860</v>
      </c>
      <c r="G541" s="35">
        <v>6380</v>
      </c>
      <c r="H541" s="5">
        <v>6642.3952748626207</v>
      </c>
      <c r="I541" s="5">
        <v>6642.3946794059011</v>
      </c>
      <c r="J541" s="5">
        <v>6642.4320631145083</v>
      </c>
      <c r="K541" s="5">
        <v>4937.5</v>
      </c>
      <c r="L541" s="5">
        <v>5748.832408470209</v>
      </c>
      <c r="M541" s="5">
        <v>6380</v>
      </c>
      <c r="N541" s="5">
        <v>6013.0168937800854</v>
      </c>
      <c r="O541" s="5">
        <v>6148.2094935226114</v>
      </c>
      <c r="P541">
        <v>6315.3556650740284</v>
      </c>
      <c r="Q541" s="5">
        <v>5912.3659244880346</v>
      </c>
      <c r="R541" s="5">
        <v>6352.72119140625</v>
      </c>
      <c r="S541" s="5">
        <v>6203.822265625</v>
      </c>
      <c r="T541" s="5">
        <v>6573.0587017891494</v>
      </c>
      <c r="U541" s="5">
        <v>6277.3120487445049</v>
      </c>
      <c r="V541" s="5">
        <v>5267.7124202719078</v>
      </c>
    </row>
    <row r="542" spans="1:25">
      <c r="A542">
        <v>200</v>
      </c>
      <c r="B542">
        <v>3</v>
      </c>
      <c r="C542">
        <v>303.5</v>
      </c>
      <c r="D542">
        <v>32.457457285750117</v>
      </c>
      <c r="E542">
        <v>3</v>
      </c>
      <c r="F542">
        <v>2330</v>
      </c>
      <c r="G542" s="35">
        <v>2160</v>
      </c>
      <c r="H542" s="5">
        <v>3014.7286377537898</v>
      </c>
      <c r="I542" s="5">
        <v>3014.7284784843719</v>
      </c>
      <c r="J542" s="5">
        <v>3014.776973092577</v>
      </c>
      <c r="K542" s="5">
        <v>2128.91</v>
      </c>
      <c r="L542" s="5">
        <v>2065.8676410564849</v>
      </c>
      <c r="M542" s="5">
        <v>2157.8923948220072</v>
      </c>
      <c r="N542" s="5">
        <v>1992.8789117630349</v>
      </c>
      <c r="O542" s="5">
        <v>2075.2254833574762</v>
      </c>
      <c r="P542">
        <v>2045.027269936716</v>
      </c>
      <c r="Q542" s="5">
        <v>1979.580094728198</v>
      </c>
      <c r="R542" s="5">
        <v>2172.882080078125</v>
      </c>
      <c r="S542" s="5">
        <v>2077.528564453125</v>
      </c>
      <c r="T542" s="5">
        <v>1875.8897190306823</v>
      </c>
      <c r="U542" s="5">
        <v>1872.2924152519502</v>
      </c>
      <c r="V542" s="5">
        <v>1611.0297999413374</v>
      </c>
      <c r="W542" s="5">
        <v>1553.4708277038726</v>
      </c>
      <c r="X542" s="5">
        <v>1784.835372819605</v>
      </c>
      <c r="Y542" s="5">
        <v>1463.8083000570621</v>
      </c>
    </row>
    <row r="543" spans="1:25">
      <c r="A543">
        <v>89.32</v>
      </c>
      <c r="B543">
        <v>2.74</v>
      </c>
      <c r="C543">
        <v>360</v>
      </c>
      <c r="D543">
        <v>31.891778952991078</v>
      </c>
      <c r="E543">
        <v>3.8065382892969102</v>
      </c>
      <c r="F543">
        <v>552</v>
      </c>
      <c r="G543" s="35">
        <v>632.27592428202388</v>
      </c>
      <c r="H543" s="5">
        <v>-369.74618759623309</v>
      </c>
      <c r="I543" s="5">
        <v>-369.74583130313931</v>
      </c>
      <c r="J543" s="5">
        <v>-369.71809872751328</v>
      </c>
      <c r="K543" s="5">
        <v>656.58984669245831</v>
      </c>
      <c r="L543" s="5">
        <v>630.81248230046799</v>
      </c>
      <c r="M543" s="5">
        <v>636.54426722145172</v>
      </c>
      <c r="N543" s="5">
        <v>574.23733382750254</v>
      </c>
      <c r="O543" s="5">
        <v>569.57748230287768</v>
      </c>
      <c r="P543">
        <v>591.51793953517279</v>
      </c>
      <c r="Q543" s="5">
        <v>616.53727026093338</v>
      </c>
      <c r="R543" s="5">
        <v>571.34942626953125</v>
      </c>
      <c r="S543" s="5">
        <v>614.581298828125</v>
      </c>
      <c r="T543" s="5">
        <v>668.00087044175211</v>
      </c>
      <c r="U543" s="5">
        <v>610.71008882725914</v>
      </c>
      <c r="V543" s="5">
        <v>541.51438352654679</v>
      </c>
      <c r="W543" s="5">
        <v>553.15177633091901</v>
      </c>
      <c r="X543" s="5">
        <v>537.81543276614912</v>
      </c>
      <c r="Y543" s="5">
        <v>430.73742711900172</v>
      </c>
    </row>
    <row r="544" spans="1:25">
      <c r="A544">
        <v>149</v>
      </c>
      <c r="B544">
        <v>2.96</v>
      </c>
      <c r="C544">
        <v>308</v>
      </c>
      <c r="D544">
        <v>77</v>
      </c>
      <c r="E544">
        <v>3</v>
      </c>
      <c r="F544">
        <v>1781</v>
      </c>
      <c r="G544" s="35">
        <v>1306.471955733118</v>
      </c>
      <c r="H544" s="5">
        <v>2170.6646708376352</v>
      </c>
      <c r="I544" s="5">
        <v>2170.6646688053702</v>
      </c>
      <c r="J544" s="5">
        <v>2170.674565525022</v>
      </c>
      <c r="K544" s="5">
        <v>1985.4727272727271</v>
      </c>
      <c r="L544" s="5">
        <v>1840.424647836827</v>
      </c>
      <c r="M544" s="5">
        <v>1790.6392799352759</v>
      </c>
      <c r="N544" s="5">
        <v>1629.76170179983</v>
      </c>
      <c r="O544" s="5">
        <v>1584.669367975845</v>
      </c>
      <c r="P544">
        <v>1756.2685474526861</v>
      </c>
      <c r="Q544" s="5">
        <v>1681.562998968717</v>
      </c>
      <c r="R544" s="5">
        <v>1428.563110351562</v>
      </c>
      <c r="S544" s="5">
        <v>1990.4912109375</v>
      </c>
      <c r="T544" s="5">
        <v>1964.4193252176701</v>
      </c>
      <c r="U544" s="5">
        <v>1915.6597709689711</v>
      </c>
      <c r="V544" s="5">
        <v>1616.1047035458078</v>
      </c>
    </row>
    <row r="545" spans="1:25">
      <c r="A545">
        <v>165</v>
      </c>
      <c r="B545">
        <v>3</v>
      </c>
      <c r="C545">
        <v>338</v>
      </c>
      <c r="D545">
        <v>49.777395755965507</v>
      </c>
      <c r="E545">
        <v>3.0303030303030298</v>
      </c>
      <c r="F545">
        <v>2567.6</v>
      </c>
      <c r="G545" s="35">
        <v>2724.4</v>
      </c>
      <c r="H545" s="5">
        <v>2319.4698912044141</v>
      </c>
      <c r="I545" s="5">
        <v>2319.4698594520578</v>
      </c>
      <c r="J545" s="5">
        <v>2319.4915301118908</v>
      </c>
      <c r="K545" s="5">
        <v>2472.3230769230772</v>
      </c>
      <c r="L545" s="5">
        <v>2629.100015153565</v>
      </c>
      <c r="M545" s="5">
        <v>2702.765612234713</v>
      </c>
      <c r="N545" s="5">
        <v>2384.285948524097</v>
      </c>
      <c r="O545" s="5">
        <v>2519.5185169112228</v>
      </c>
      <c r="P545">
        <v>2326.19764423678</v>
      </c>
      <c r="Q545" s="5">
        <v>2262.0270579293219</v>
      </c>
      <c r="R545" s="5">
        <v>2701.2998046875</v>
      </c>
      <c r="S545" s="5">
        <v>2062.968994140625</v>
      </c>
      <c r="T545" s="5">
        <v>1882.2165804285069</v>
      </c>
      <c r="U545" s="5">
        <v>1824.3848863410296</v>
      </c>
      <c r="V545" s="5">
        <v>1562.8157792578343</v>
      </c>
      <c r="W545" s="5">
        <v>1544.0498370007097</v>
      </c>
      <c r="X545" s="5">
        <v>1720.1430634144631</v>
      </c>
      <c r="Y545" s="5">
        <v>1441.811031757175</v>
      </c>
    </row>
    <row r="546" spans="1:25">
      <c r="A546">
        <v>477</v>
      </c>
      <c r="B546">
        <v>11.36</v>
      </c>
      <c r="C546">
        <v>310</v>
      </c>
      <c r="D546">
        <v>73.2</v>
      </c>
      <c r="E546">
        <v>2</v>
      </c>
      <c r="F546">
        <v>19854</v>
      </c>
      <c r="G546" s="35">
        <v>15472.322230654339</v>
      </c>
      <c r="H546" s="5">
        <v>14734.893273049869</v>
      </c>
      <c r="I546" s="5">
        <v>14734.89183303782</v>
      </c>
      <c r="J546" s="5">
        <v>14734.799927464581</v>
      </c>
      <c r="K546" s="5">
        <v>22819.166666666672</v>
      </c>
      <c r="L546" s="5">
        <v>24260.59138736262</v>
      </c>
      <c r="M546" s="5">
        <v>19617.165048543691</v>
      </c>
      <c r="N546" s="5">
        <v>20573.100481187219</v>
      </c>
      <c r="O546" s="5">
        <v>23087.50104597149</v>
      </c>
      <c r="P546">
        <v>21910.94534227069</v>
      </c>
      <c r="Q546" s="5">
        <v>17884.999999999989</v>
      </c>
      <c r="R546" s="5">
        <v>22566.578125</v>
      </c>
      <c r="S546" s="5">
        <v>20233.849609375</v>
      </c>
      <c r="T546" s="5">
        <v>19758.603044460349</v>
      </c>
      <c r="U546" s="5">
        <v>20210.020426087514</v>
      </c>
      <c r="V546" s="5">
        <v>17192.797049446348</v>
      </c>
    </row>
    <row r="547" spans="1:25">
      <c r="A547">
        <v>92</v>
      </c>
      <c r="B547">
        <v>3</v>
      </c>
      <c r="C547">
        <v>260.7</v>
      </c>
      <c r="D547">
        <v>20.71</v>
      </c>
      <c r="E547">
        <v>3</v>
      </c>
      <c r="F547">
        <v>538</v>
      </c>
      <c r="G547" s="35">
        <v>572.18963121856632</v>
      </c>
      <c r="H547" s="5">
        <v>-800.2411086364832</v>
      </c>
      <c r="I547" s="5">
        <v>-800.24052061804468</v>
      </c>
      <c r="J547" s="5">
        <v>-800.16917609801339</v>
      </c>
      <c r="K547" s="5">
        <v>570.90909090909088</v>
      </c>
      <c r="L547" s="5">
        <v>548.10423000938476</v>
      </c>
      <c r="M547" s="5">
        <v>526.31553398058247</v>
      </c>
      <c r="N547" s="5">
        <v>501.42510366924262</v>
      </c>
      <c r="O547" s="5">
        <v>539.97831225555876</v>
      </c>
      <c r="P547">
        <v>549.2149808936241</v>
      </c>
      <c r="Q547" s="5">
        <v>601.42946711380682</v>
      </c>
      <c r="R547" s="5">
        <v>551.6497802734375</v>
      </c>
      <c r="S547" s="5">
        <v>608.06689453125</v>
      </c>
      <c r="T547" s="5">
        <v>586.23980163343163</v>
      </c>
      <c r="U547" s="5">
        <v>474.55631934969489</v>
      </c>
      <c r="V547" s="5">
        <v>422.69867090990391</v>
      </c>
      <c r="W547" s="5">
        <v>420.32845737085552</v>
      </c>
    </row>
    <row r="548" spans="1:25">
      <c r="A548">
        <v>133</v>
      </c>
      <c r="B548">
        <v>5</v>
      </c>
      <c r="C548">
        <v>306</v>
      </c>
      <c r="D548">
        <v>61.12</v>
      </c>
      <c r="E548">
        <v>3</v>
      </c>
      <c r="F548">
        <v>1774</v>
      </c>
      <c r="G548" s="35">
        <v>1693.877243359655</v>
      </c>
      <c r="H548" s="5">
        <v>1902.8279361288251</v>
      </c>
      <c r="I548" s="5">
        <v>1902.828197578456</v>
      </c>
      <c r="J548" s="5">
        <v>1902.8380102110909</v>
      </c>
      <c r="K548" s="5">
        <v>1601.9416666666671</v>
      </c>
      <c r="L548" s="5">
        <v>1687.278495161853</v>
      </c>
      <c r="M548" s="5">
        <v>1716.2395900755121</v>
      </c>
      <c r="N548" s="5">
        <v>1757.0930148731361</v>
      </c>
      <c r="O548" s="5">
        <v>1815.670760263549</v>
      </c>
      <c r="P548">
        <v>1778.891572791877</v>
      </c>
      <c r="Q548" s="5">
        <v>1616.8366546695131</v>
      </c>
      <c r="R548" s="5">
        <v>1844.622680664062</v>
      </c>
      <c r="S548" s="5">
        <v>1557.2578125</v>
      </c>
      <c r="T548" s="5">
        <v>1762.1586314772674</v>
      </c>
      <c r="U548" s="5">
        <v>1722.9496908661454</v>
      </c>
      <c r="V548" s="5">
        <v>1498.7519038546136</v>
      </c>
      <c r="W548" s="5">
        <v>1632.1966457625595</v>
      </c>
      <c r="Y548" s="5">
        <v>1295.5522810039449</v>
      </c>
    </row>
    <row r="549" spans="1:25">
      <c r="A549">
        <v>100</v>
      </c>
      <c r="B549">
        <v>2.5</v>
      </c>
      <c r="C549">
        <v>433.2</v>
      </c>
      <c r="D549">
        <v>48.35</v>
      </c>
      <c r="E549">
        <v>3</v>
      </c>
      <c r="F549">
        <v>828</v>
      </c>
      <c r="G549" s="35">
        <v>812.73210914250978</v>
      </c>
      <c r="H549" s="5">
        <v>377.52214118944988</v>
      </c>
      <c r="I549" s="5">
        <v>377.52239661001931</v>
      </c>
      <c r="J549" s="5">
        <v>377.53778851938017</v>
      </c>
      <c r="K549" s="5">
        <v>771.71428571428567</v>
      </c>
      <c r="L549" s="5">
        <v>820.95580699858635</v>
      </c>
      <c r="M549" s="5">
        <v>829.23191119419505</v>
      </c>
      <c r="N549" s="5">
        <v>909.23821884677659</v>
      </c>
      <c r="O549" s="5">
        <v>814.6750883445261</v>
      </c>
      <c r="P549">
        <v>826.13308756598428</v>
      </c>
      <c r="Q549" s="5">
        <v>869.02880749714836</v>
      </c>
      <c r="R549" s="5">
        <v>860.5950927734375</v>
      </c>
      <c r="S549" s="5">
        <v>887.8583984375</v>
      </c>
      <c r="T549" s="5">
        <v>957.16072527224935</v>
      </c>
      <c r="U549" s="5">
        <v>880.11572891657829</v>
      </c>
      <c r="V549" s="5">
        <v>769.99248759258421</v>
      </c>
      <c r="W549" s="5">
        <v>835.89843037141327</v>
      </c>
      <c r="X549" s="5">
        <v>807.86420279701724</v>
      </c>
      <c r="Y549" s="5">
        <v>651.42687374619095</v>
      </c>
    </row>
    <row r="550" spans="1:25">
      <c r="A550">
        <v>63.5</v>
      </c>
      <c r="B550">
        <v>1.25</v>
      </c>
      <c r="C550">
        <v>250</v>
      </c>
      <c r="D550">
        <v>48.56</v>
      </c>
      <c r="E550">
        <v>5.5118110236220472</v>
      </c>
      <c r="F550">
        <v>198.88</v>
      </c>
      <c r="G550" s="35">
        <v>193.36100885898739</v>
      </c>
      <c r="H550" s="5">
        <v>-1518.8585978814319</v>
      </c>
      <c r="I550" s="5">
        <v>-1518.8583483170021</v>
      </c>
      <c r="J550" s="5">
        <v>-1518.8517042047561</v>
      </c>
      <c r="K550" s="5">
        <v>253.31</v>
      </c>
      <c r="L550" s="5">
        <v>191.4339935897458</v>
      </c>
      <c r="M550" s="5">
        <v>202.11203883495091</v>
      </c>
      <c r="N550" s="5">
        <v>190.31028788386899</v>
      </c>
      <c r="O550" s="5">
        <v>197.82874510094231</v>
      </c>
      <c r="P550">
        <v>192.39690648421461</v>
      </c>
      <c r="Q550" s="5">
        <v>193.90381894124729</v>
      </c>
      <c r="R550" s="5">
        <v>187.4006042480469</v>
      </c>
      <c r="S550" s="5">
        <v>298.9664306640625</v>
      </c>
      <c r="T550" s="5">
        <v>237.191728536743</v>
      </c>
      <c r="U550" s="5">
        <v>240.9193236798221</v>
      </c>
      <c r="V550" s="5">
        <v>204.94919443042087</v>
      </c>
      <c r="W550" s="5">
        <v>215.33785469469265</v>
      </c>
      <c r="X550" s="5">
        <v>211.32859611128771</v>
      </c>
      <c r="Y550" s="5">
        <v>190.86796406522049</v>
      </c>
    </row>
    <row r="551" spans="1:25">
      <c r="A551">
        <v>129</v>
      </c>
      <c r="B551">
        <v>3</v>
      </c>
      <c r="C551">
        <v>306</v>
      </c>
      <c r="D551">
        <v>49.92</v>
      </c>
      <c r="E551">
        <v>3</v>
      </c>
      <c r="F551">
        <v>1128</v>
      </c>
      <c r="G551" s="35">
        <v>1132.3201692524681</v>
      </c>
      <c r="H551" s="5">
        <v>1009.906279254436</v>
      </c>
      <c r="I551" s="5">
        <v>1009.906474949335</v>
      </c>
      <c r="J551" s="5">
        <v>1009.942876048663</v>
      </c>
      <c r="K551" s="5">
        <v>1200.8571428571429</v>
      </c>
      <c r="L551" s="5">
        <v>1125.2102418789959</v>
      </c>
      <c r="M551" s="5">
        <v>1120.6574505172209</v>
      </c>
      <c r="N551" s="5">
        <v>1236.135266658617</v>
      </c>
      <c r="O551" s="5">
        <v>1209.6755939324989</v>
      </c>
      <c r="P551">
        <v>1234.1671595144339</v>
      </c>
      <c r="Q551" s="5">
        <v>1269.351531440494</v>
      </c>
      <c r="R551" s="5">
        <v>1270.269775390625</v>
      </c>
      <c r="S551" s="5">
        <v>1231.669189453125</v>
      </c>
      <c r="T551" s="5">
        <v>1269.7128950264002</v>
      </c>
      <c r="U551" s="5">
        <v>1181.842274866664</v>
      </c>
      <c r="V551" s="5">
        <v>1017.8058347194988</v>
      </c>
      <c r="W551" s="5">
        <v>1150.5191277544684</v>
      </c>
      <c r="X551" s="5">
        <v>1112.694652353573</v>
      </c>
      <c r="Y551" s="5">
        <v>919.55458263785408</v>
      </c>
    </row>
    <row r="552" spans="1:25">
      <c r="A552">
        <v>96</v>
      </c>
      <c r="B552">
        <v>5</v>
      </c>
      <c r="C552">
        <v>410</v>
      </c>
      <c r="D552">
        <v>26.01869872620826</v>
      </c>
      <c r="E552">
        <v>4.166666666666667</v>
      </c>
      <c r="F552">
        <v>1177</v>
      </c>
      <c r="G552" s="35">
        <v>1123</v>
      </c>
      <c r="H552" s="5">
        <v>528.95178282671509</v>
      </c>
      <c r="I552" s="5">
        <v>528.95213845916987</v>
      </c>
      <c r="J552" s="5">
        <v>528.94078140969054</v>
      </c>
      <c r="K552" s="5">
        <v>1039.782494715369</v>
      </c>
      <c r="L552" s="5">
        <v>1116.1602317659549</v>
      </c>
      <c r="M552" s="5">
        <v>1121.745240538077</v>
      </c>
      <c r="N552" s="5">
        <v>1042.995907652712</v>
      </c>
      <c r="O552" s="5">
        <v>1101.513320772109</v>
      </c>
      <c r="P552">
        <v>1079.279465824316</v>
      </c>
      <c r="Q552" s="5">
        <v>1033.225603904368</v>
      </c>
      <c r="R552" s="5">
        <v>1121.203247070312</v>
      </c>
      <c r="S552" s="5">
        <v>1083.5216064453125</v>
      </c>
      <c r="T552" s="5">
        <v>1093.240212780755</v>
      </c>
      <c r="U552" s="5">
        <v>1100.5613999135614</v>
      </c>
      <c r="V552" s="5">
        <v>992.96847935555263</v>
      </c>
      <c r="W552" s="5">
        <v>899.84456010481324</v>
      </c>
      <c r="Y552" s="5">
        <v>719.53283508012441</v>
      </c>
    </row>
    <row r="553" spans="1:25">
      <c r="A553">
        <v>108</v>
      </c>
      <c r="B553">
        <v>4</v>
      </c>
      <c r="C553">
        <v>338.88</v>
      </c>
      <c r="D553">
        <v>28.99</v>
      </c>
      <c r="E553">
        <v>6</v>
      </c>
      <c r="F553">
        <v>825.16</v>
      </c>
      <c r="G553" s="35">
        <v>826.63487739032598</v>
      </c>
      <c r="H553" s="5">
        <v>604.95382071561721</v>
      </c>
      <c r="I553" s="5">
        <v>604.95389799765462</v>
      </c>
      <c r="J553" s="5">
        <v>604.92177283938099</v>
      </c>
      <c r="K553" s="5">
        <v>876.26080817667525</v>
      </c>
      <c r="L553" s="5">
        <v>850.86591978921751</v>
      </c>
      <c r="M553" s="5">
        <v>825.79834170436084</v>
      </c>
      <c r="N553" s="5">
        <v>841.3044078692991</v>
      </c>
      <c r="O553" s="5">
        <v>819.26097492824476</v>
      </c>
      <c r="P553">
        <v>837.01882454717361</v>
      </c>
      <c r="Q553" s="5">
        <v>950.86243231523372</v>
      </c>
      <c r="R553" s="5">
        <v>812.01800537109375</v>
      </c>
      <c r="S553" s="5">
        <v>733.818359375</v>
      </c>
      <c r="T553" s="5">
        <v>879.81156903023452</v>
      </c>
      <c r="U553" s="5">
        <v>945.15760476973958</v>
      </c>
      <c r="V553" s="5">
        <v>842.84976677860857</v>
      </c>
      <c r="W553" s="5">
        <v>835.06789897403735</v>
      </c>
      <c r="X553" s="5">
        <v>733.64709421832674</v>
      </c>
      <c r="Y553" s="5">
        <v>642.68265571786208</v>
      </c>
    </row>
    <row r="554" spans="1:25">
      <c r="A554">
        <v>114</v>
      </c>
      <c r="B554">
        <v>3.35</v>
      </c>
      <c r="C554">
        <v>291</v>
      </c>
      <c r="D554">
        <v>37</v>
      </c>
      <c r="E554">
        <v>7.4561403508771926</v>
      </c>
      <c r="F554">
        <v>785</v>
      </c>
      <c r="G554" s="35">
        <v>629.40988561151892</v>
      </c>
      <c r="H554" s="5">
        <v>706.53608670212134</v>
      </c>
      <c r="I554" s="5">
        <v>706.53590977852832</v>
      </c>
      <c r="J554" s="5">
        <v>706.47225211417162</v>
      </c>
      <c r="K554" s="5">
        <v>767.57145591132382</v>
      </c>
      <c r="L554" s="5">
        <v>678.88400356329953</v>
      </c>
      <c r="M554" s="5">
        <v>731.93616907432079</v>
      </c>
      <c r="N554" s="5">
        <v>768.54050943469224</v>
      </c>
      <c r="O554" s="5">
        <v>700.04139234294325</v>
      </c>
      <c r="P554">
        <v>739.91156437821337</v>
      </c>
      <c r="Q554" s="5">
        <v>815.60424804207707</v>
      </c>
      <c r="R554" s="5">
        <v>724.9864501953125</v>
      </c>
      <c r="S554" s="5">
        <v>645.7015380859375</v>
      </c>
      <c r="T554" s="5">
        <v>760.90344189215011</v>
      </c>
      <c r="U554" s="5">
        <v>883.55006161389474</v>
      </c>
      <c r="V554" s="5">
        <v>773.81616658374662</v>
      </c>
      <c r="W554" s="5">
        <v>838.87554607881953</v>
      </c>
      <c r="X554" s="5">
        <v>679.50274594596203</v>
      </c>
      <c r="Y554" s="5">
        <v>631.02416242908976</v>
      </c>
    </row>
    <row r="555" spans="1:25">
      <c r="A555">
        <v>219</v>
      </c>
      <c r="B555">
        <v>6</v>
      </c>
      <c r="C555">
        <v>325</v>
      </c>
      <c r="D555">
        <v>58</v>
      </c>
      <c r="E555">
        <v>4.5662100456621006</v>
      </c>
      <c r="F555">
        <v>2989</v>
      </c>
      <c r="G555" s="35">
        <v>2453.370835142583</v>
      </c>
      <c r="H555" s="5">
        <v>4998.3165648748673</v>
      </c>
      <c r="I555" s="5">
        <v>4998.316134851324</v>
      </c>
      <c r="J555" s="5">
        <v>4998.262079188582</v>
      </c>
      <c r="K555" s="5">
        <v>4400.4076286719483</v>
      </c>
      <c r="L555" s="5">
        <v>3834.954695968725</v>
      </c>
      <c r="M555" s="5">
        <v>3435.1876861255591</v>
      </c>
      <c r="N555" s="5">
        <v>3196.2957850601579</v>
      </c>
      <c r="O555" s="5">
        <v>2950.051262808614</v>
      </c>
      <c r="P555">
        <v>2726.2741741974291</v>
      </c>
      <c r="Q555" s="5">
        <v>3092.2215553169699</v>
      </c>
      <c r="R555" s="5">
        <v>2637.169677734375</v>
      </c>
      <c r="S555" s="5">
        <v>3254.672607421875</v>
      </c>
      <c r="T555" s="5">
        <v>3728.0988893341337</v>
      </c>
      <c r="U555" s="5">
        <v>4065.7785264412046</v>
      </c>
      <c r="V555" s="5">
        <v>3511.1224643762416</v>
      </c>
      <c r="W555" s="5">
        <v>3824.2090381455255</v>
      </c>
      <c r="X555" s="5">
        <v>3547.3796700168341</v>
      </c>
      <c r="Y555" s="5">
        <v>3099.6239030492729</v>
      </c>
    </row>
    <row r="556" spans="1:25">
      <c r="A556">
        <v>114.3</v>
      </c>
      <c r="B556">
        <v>5.9</v>
      </c>
      <c r="C556">
        <v>355</v>
      </c>
      <c r="D556">
        <v>107.2</v>
      </c>
      <c r="E556">
        <v>5.2493438320209984</v>
      </c>
      <c r="F556">
        <v>1968.06</v>
      </c>
      <c r="G556" s="35">
        <v>1649.9549582240741</v>
      </c>
      <c r="H556" s="5">
        <v>2604.9814833380192</v>
      </c>
      <c r="I556" s="5">
        <v>2604.9814373162271</v>
      </c>
      <c r="J556" s="5">
        <v>2604.8878241242751</v>
      </c>
      <c r="K556" s="5">
        <v>1562.37</v>
      </c>
      <c r="L556" s="5">
        <v>1852.958154075078</v>
      </c>
      <c r="M556" s="5">
        <v>1798.1217637540469</v>
      </c>
      <c r="N556" s="5">
        <v>1974.5727395959309</v>
      </c>
      <c r="O556" s="5">
        <v>2156.200792815614</v>
      </c>
      <c r="P556">
        <v>2048.339235662635</v>
      </c>
      <c r="Q556" s="5">
        <v>1673.06038995481</v>
      </c>
      <c r="R556" s="5">
        <v>1996.308227539062</v>
      </c>
      <c r="S556" s="5">
        <v>1589.7513427734375</v>
      </c>
      <c r="T556" s="5">
        <v>1889.345526547236</v>
      </c>
      <c r="U556" s="5">
        <v>1911.6923426269227</v>
      </c>
      <c r="V556" s="5">
        <v>1769.0973754172662</v>
      </c>
    </row>
    <row r="557" spans="1:25">
      <c r="A557">
        <v>203</v>
      </c>
      <c r="B557">
        <v>9.6</v>
      </c>
      <c r="C557">
        <v>352</v>
      </c>
      <c r="D557">
        <v>84.2</v>
      </c>
      <c r="E557">
        <v>3.9408866995073888</v>
      </c>
      <c r="F557">
        <v>5906</v>
      </c>
      <c r="G557" s="35">
        <v>6010</v>
      </c>
      <c r="H557" s="5">
        <v>5981.9047437847421</v>
      </c>
      <c r="I557" s="5">
        <v>5981.9045874863841</v>
      </c>
      <c r="J557" s="5">
        <v>5981.8210488944078</v>
      </c>
      <c r="K557" s="5">
        <v>4184.8835822559413</v>
      </c>
      <c r="L557" s="5">
        <v>5205.9382480386548</v>
      </c>
      <c r="M557" s="5">
        <v>6010</v>
      </c>
      <c r="N557" s="5">
        <v>5647.9677160468127</v>
      </c>
      <c r="O557" s="5">
        <v>6012.3680715598957</v>
      </c>
      <c r="P557">
        <v>5890.3231766541339</v>
      </c>
      <c r="Q557" s="5">
        <v>5535.7917229606792</v>
      </c>
      <c r="R557" s="5">
        <v>6017.46923828125</v>
      </c>
      <c r="S557" s="5">
        <v>5967.00634765625</v>
      </c>
      <c r="T557" s="5">
        <v>5557.9744651134606</v>
      </c>
      <c r="U557" s="5">
        <v>5560.1501317433049</v>
      </c>
      <c r="V557" s="5">
        <v>4844.8800448307265</v>
      </c>
    </row>
    <row r="558" spans="1:25">
      <c r="A558">
        <v>160.19999999999999</v>
      </c>
      <c r="B558">
        <v>5.4</v>
      </c>
      <c r="C558">
        <v>356.1</v>
      </c>
      <c r="D558">
        <v>21.9</v>
      </c>
      <c r="E558">
        <v>2.9338327091136081</v>
      </c>
      <c r="F558">
        <v>1775</v>
      </c>
      <c r="G558" s="35">
        <v>1906.2879200888749</v>
      </c>
      <c r="H558" s="5">
        <v>2433.1184887154932</v>
      </c>
      <c r="I558" s="5">
        <v>2433.118666519144</v>
      </c>
      <c r="J558" s="5">
        <v>2433.1360188305371</v>
      </c>
      <c r="K558" s="5">
        <v>2152.4693068571428</v>
      </c>
      <c r="L558" s="5">
        <v>1914.8346200339081</v>
      </c>
      <c r="M558" s="5">
        <v>2046.6290199158509</v>
      </c>
      <c r="N558" s="5">
        <v>1965.8596860575881</v>
      </c>
      <c r="O558" s="5">
        <v>1756.8644104110469</v>
      </c>
      <c r="P558">
        <v>1926.6714278809991</v>
      </c>
      <c r="Q558" s="5">
        <v>1735.400880590254</v>
      </c>
      <c r="R558" s="5">
        <v>2080.247314453125</v>
      </c>
      <c r="S558" s="5">
        <v>2249.70849609375</v>
      </c>
      <c r="T558" s="5">
        <v>1921.5955458218036</v>
      </c>
      <c r="U558" s="5">
        <v>1898.8765309381713</v>
      </c>
      <c r="V558" s="5">
        <v>1702.9729808189309</v>
      </c>
      <c r="W558" s="5">
        <v>1587.2603102399123</v>
      </c>
      <c r="Y558" s="5">
        <v>1292.096821502452</v>
      </c>
    </row>
    <row r="559" spans="1:25">
      <c r="A559">
        <v>116</v>
      </c>
      <c r="B559">
        <v>4.9000000000000004</v>
      </c>
      <c r="C559">
        <v>309.5</v>
      </c>
      <c r="D559">
        <v>54.905490861107609</v>
      </c>
      <c r="E559">
        <v>2.9655172413793101</v>
      </c>
      <c r="F559">
        <v>1210</v>
      </c>
      <c r="G559" s="35">
        <v>1235.4552408098079</v>
      </c>
      <c r="H559" s="5">
        <v>1153.814865521415</v>
      </c>
      <c r="I559" s="5">
        <v>1153.8152379233979</v>
      </c>
      <c r="J559" s="5">
        <v>1153.8451863785481</v>
      </c>
      <c r="K559" s="5">
        <v>1209.925</v>
      </c>
      <c r="L559" s="5">
        <v>1210.899620712079</v>
      </c>
      <c r="M559" s="5">
        <v>1137.7462135922331</v>
      </c>
      <c r="N559" s="5">
        <v>1217.5777134561399</v>
      </c>
      <c r="O559" s="5">
        <v>1236.2158365438549</v>
      </c>
      <c r="P559">
        <v>1208.281458142864</v>
      </c>
      <c r="Q559" s="5">
        <v>1364.5103041828791</v>
      </c>
      <c r="R559" s="5">
        <v>1122.308349609375</v>
      </c>
      <c r="S559" s="5">
        <v>1227.251708984375</v>
      </c>
      <c r="T559" s="5">
        <v>1397.2820980653228</v>
      </c>
      <c r="U559" s="5">
        <v>1343.8595273157766</v>
      </c>
      <c r="V559" s="5">
        <v>1178.0563857897291</v>
      </c>
      <c r="W559" s="5">
        <v>1263.1029306052499</v>
      </c>
      <c r="X559" s="5">
        <v>1233.9080407397671</v>
      </c>
      <c r="Y559" s="5">
        <v>984.57718088587012</v>
      </c>
    </row>
    <row r="560" spans="1:25">
      <c r="A560">
        <v>108</v>
      </c>
      <c r="B560">
        <v>4.2</v>
      </c>
      <c r="C560">
        <v>259.7</v>
      </c>
      <c r="D560">
        <v>20.54</v>
      </c>
      <c r="E560">
        <v>3</v>
      </c>
      <c r="F560">
        <v>916</v>
      </c>
      <c r="G560" s="35">
        <v>856.38129176065866</v>
      </c>
      <c r="H560" s="5">
        <v>21.00867293115607</v>
      </c>
      <c r="I560" s="5">
        <v>21.0092316226478</v>
      </c>
      <c r="J560" s="5">
        <v>21.070451726093321</v>
      </c>
      <c r="K560" s="5">
        <v>767.57145591132382</v>
      </c>
      <c r="L560" s="5">
        <v>894.06676443224194</v>
      </c>
      <c r="M560" s="5">
        <v>930.37842921342155</v>
      </c>
      <c r="N560" s="5">
        <v>807.13126560617047</v>
      </c>
      <c r="O560" s="5">
        <v>894.33816218798563</v>
      </c>
      <c r="P560">
        <v>866.04396117078386</v>
      </c>
      <c r="Q560" s="5">
        <v>828.18032601210905</v>
      </c>
      <c r="R560" s="5">
        <v>920.0426025390625</v>
      </c>
      <c r="S560" s="5">
        <v>792.5853271484375</v>
      </c>
      <c r="T560" s="5">
        <v>865.06097326330996</v>
      </c>
      <c r="U560" s="5">
        <v>736.24636623659558</v>
      </c>
      <c r="V560" s="5">
        <v>658.48505707713696</v>
      </c>
      <c r="W560" s="5">
        <v>639.67704906639665</v>
      </c>
    </row>
    <row r="561" spans="1:25">
      <c r="A561">
        <v>120</v>
      </c>
      <c r="B561">
        <v>1.51</v>
      </c>
      <c r="C561">
        <v>222.7</v>
      </c>
      <c r="D561">
        <v>29.08</v>
      </c>
      <c r="E561">
        <v>3.0750000000000002</v>
      </c>
      <c r="F561">
        <v>680</v>
      </c>
      <c r="G561" s="35">
        <v>756.8586227600631</v>
      </c>
      <c r="H561" s="5">
        <v>-419.3159196747597</v>
      </c>
      <c r="I561" s="5">
        <v>-419.31553977328213</v>
      </c>
      <c r="J561" s="5">
        <v>-419.228984393877</v>
      </c>
      <c r="K561" s="5">
        <v>452.1</v>
      </c>
      <c r="L561" s="5">
        <v>555.47371154353357</v>
      </c>
      <c r="M561" s="5">
        <v>616.9353620565696</v>
      </c>
      <c r="N561" s="5">
        <v>516.81503851004152</v>
      </c>
      <c r="O561" s="5">
        <v>534.50622773628334</v>
      </c>
      <c r="P561">
        <v>664.93111002937633</v>
      </c>
      <c r="Q561" s="5">
        <v>734.33632159593776</v>
      </c>
      <c r="R561" s="5">
        <v>587.160888671875</v>
      </c>
      <c r="S561" s="5">
        <v>644.3153076171875</v>
      </c>
      <c r="T561" s="5">
        <v>666.38430350508168</v>
      </c>
      <c r="U561" s="5">
        <v>515.33007434110004</v>
      </c>
      <c r="V561" s="5">
        <v>437.47478103774756</v>
      </c>
      <c r="W561" s="5">
        <v>455.24390710689585</v>
      </c>
      <c r="Y561" s="5">
        <v>419.04992484974258</v>
      </c>
    </row>
    <row r="562" spans="1:25">
      <c r="A562">
        <v>166</v>
      </c>
      <c r="B562">
        <v>5</v>
      </c>
      <c r="C562">
        <v>274.39999999999998</v>
      </c>
      <c r="D562">
        <v>29.62</v>
      </c>
      <c r="E562">
        <v>3.975903614457831</v>
      </c>
      <c r="F562">
        <v>2029</v>
      </c>
      <c r="G562" s="35">
        <v>1891.333333333333</v>
      </c>
      <c r="H562" s="5">
        <v>2421.7313214300648</v>
      </c>
      <c r="I562" s="5">
        <v>2421.7313594243242</v>
      </c>
      <c r="J562" s="5">
        <v>2421.7439467613231</v>
      </c>
      <c r="K562" s="5">
        <v>1916.598502577501</v>
      </c>
      <c r="L562" s="5">
        <v>1907.3515740545629</v>
      </c>
      <c r="M562" s="5">
        <v>1894.7802337014291</v>
      </c>
      <c r="N562" s="5">
        <v>1901.0970514525229</v>
      </c>
      <c r="O562" s="5">
        <v>1931.2055812895589</v>
      </c>
      <c r="P562">
        <v>1894.568181920725</v>
      </c>
      <c r="Q562" s="5">
        <v>1804.755667834022</v>
      </c>
      <c r="R562" s="5">
        <v>1894.022583007812</v>
      </c>
      <c r="S562" s="5">
        <v>1877.2431640625</v>
      </c>
      <c r="T562" s="5">
        <v>1814.8103786117317</v>
      </c>
      <c r="U562" s="5">
        <v>1690.3437290330673</v>
      </c>
      <c r="V562" s="5">
        <v>1489.3102909377585</v>
      </c>
      <c r="W562" s="5">
        <v>1541.9718731273672</v>
      </c>
      <c r="X562" s="5">
        <v>1514.976847697214</v>
      </c>
      <c r="Y562" s="5">
        <v>1219.312908405215</v>
      </c>
    </row>
    <row r="563" spans="1:25">
      <c r="A563">
        <v>204</v>
      </c>
      <c r="B563">
        <v>2</v>
      </c>
      <c r="C563">
        <v>235.4</v>
      </c>
      <c r="D563">
        <v>5.5128682690307906</v>
      </c>
      <c r="E563">
        <v>4.3137254901960782</v>
      </c>
      <c r="F563">
        <v>1069</v>
      </c>
      <c r="G563" s="35">
        <v>1040</v>
      </c>
      <c r="H563" s="5">
        <v>2321.2241552342948</v>
      </c>
      <c r="I563" s="5">
        <v>2321.223924011792</v>
      </c>
      <c r="J563" s="5">
        <v>2321.269365335042</v>
      </c>
      <c r="K563" s="5">
        <v>1115.0613937367659</v>
      </c>
      <c r="L563" s="5">
        <v>1079.3245678586729</v>
      </c>
      <c r="M563" s="5">
        <v>1040</v>
      </c>
      <c r="N563" s="5">
        <v>1093.6609399228239</v>
      </c>
      <c r="O563" s="5">
        <v>1044.735544518398</v>
      </c>
      <c r="P563">
        <v>1036.593829328383</v>
      </c>
      <c r="Q563" s="5">
        <v>1117.680900666476</v>
      </c>
      <c r="R563" s="5">
        <v>1040.319580078125</v>
      </c>
      <c r="S563" s="5">
        <v>1059.05419921875</v>
      </c>
      <c r="T563" s="5">
        <v>913.87105144500424</v>
      </c>
      <c r="U563" s="5">
        <v>657.20005494746295</v>
      </c>
      <c r="V563" s="5">
        <v>586.1081355004286</v>
      </c>
    </row>
    <row r="564" spans="1:25">
      <c r="A564">
        <v>108</v>
      </c>
      <c r="B564">
        <v>3.5</v>
      </c>
      <c r="C564">
        <v>420.5</v>
      </c>
      <c r="D564">
        <v>72.239999999999995</v>
      </c>
      <c r="E564">
        <v>3</v>
      </c>
      <c r="F564">
        <v>1633</v>
      </c>
      <c r="G564" s="35">
        <v>1449.5970366169461</v>
      </c>
      <c r="H564" s="5">
        <v>1259.6577145992239</v>
      </c>
      <c r="I564" s="5">
        <v>1259.657896139214</v>
      </c>
      <c r="J564" s="5">
        <v>1259.648161781638</v>
      </c>
      <c r="K564" s="5">
        <v>1887.4444444444439</v>
      </c>
      <c r="L564" s="5">
        <v>1545.163527389579</v>
      </c>
      <c r="M564" s="5">
        <v>1557.960614886731</v>
      </c>
      <c r="N564" s="5">
        <v>1696.2479251602899</v>
      </c>
      <c r="O564" s="5">
        <v>1666.853433618727</v>
      </c>
      <c r="P564">
        <v>1529.2425463253519</v>
      </c>
      <c r="Q564" s="5">
        <v>1858.650787493408</v>
      </c>
      <c r="R564" s="5">
        <v>1693.088989257812</v>
      </c>
      <c r="S564" s="5">
        <v>1394.191162109375</v>
      </c>
      <c r="T564" s="5">
        <v>1419.5191600735502</v>
      </c>
      <c r="U564" s="5">
        <v>1361.5116473315154</v>
      </c>
      <c r="V564" s="5">
        <v>1184.3602926391131</v>
      </c>
      <c r="W564" s="5">
        <v>1320.4560344526571</v>
      </c>
    </row>
    <row r="565" spans="1:25">
      <c r="A565">
        <v>114.3</v>
      </c>
      <c r="B565">
        <v>3.6</v>
      </c>
      <c r="C565">
        <v>403</v>
      </c>
      <c r="D565">
        <v>168.29499999999999</v>
      </c>
      <c r="E565">
        <v>2.1872265966754161</v>
      </c>
      <c r="F565">
        <v>2422</v>
      </c>
      <c r="G565" s="35">
        <v>2340</v>
      </c>
      <c r="H565" s="5">
        <v>2932.970268405903</v>
      </c>
      <c r="I565" s="5">
        <v>2932.9701820908122</v>
      </c>
      <c r="J565" s="5">
        <v>2932.902651780365</v>
      </c>
      <c r="K565" s="5">
        <v>1887.4444444444439</v>
      </c>
      <c r="L565" s="5">
        <v>2359.3681492674</v>
      </c>
      <c r="M565" s="5">
        <v>2340</v>
      </c>
      <c r="N565" s="5">
        <v>2377.4367984122241</v>
      </c>
      <c r="O565" s="5">
        <v>2332.7253744828181</v>
      </c>
      <c r="P565">
        <v>2334.0319277558569</v>
      </c>
      <c r="Q565" s="5">
        <v>2113.9111580638082</v>
      </c>
      <c r="R565" s="5">
        <v>2355.15966796875</v>
      </c>
      <c r="S565" s="5">
        <v>2039.5733642578125</v>
      </c>
      <c r="T565" s="5">
        <v>2360.4832150755692</v>
      </c>
      <c r="U565" s="5">
        <v>2242.6959391556989</v>
      </c>
      <c r="V565" s="5">
        <v>1966.2825883929149</v>
      </c>
    </row>
    <row r="566" spans="1:25">
      <c r="A566">
        <v>134.30000000000001</v>
      </c>
      <c r="B566">
        <v>3.12</v>
      </c>
      <c r="C566">
        <v>235</v>
      </c>
      <c r="D566">
        <v>26.6</v>
      </c>
      <c r="E566">
        <v>1.9657483246463141</v>
      </c>
      <c r="F566">
        <v>681</v>
      </c>
      <c r="G566" s="35">
        <v>856.44274456738071</v>
      </c>
      <c r="H566" s="5">
        <v>533.90756584624501</v>
      </c>
      <c r="I566" s="5">
        <v>533.908043909144</v>
      </c>
      <c r="J566" s="5">
        <v>534.00075480305691</v>
      </c>
      <c r="K566" s="5">
        <v>1295.829075636364</v>
      </c>
      <c r="L566" s="5">
        <v>1031.7770439262799</v>
      </c>
      <c r="M566" s="5">
        <v>935.31207463998862</v>
      </c>
      <c r="N566" s="5">
        <v>793.8257473826319</v>
      </c>
      <c r="O566" s="5">
        <v>878.19967463638693</v>
      </c>
      <c r="P566">
        <v>830.67287763525962</v>
      </c>
      <c r="Q566" s="5">
        <v>878.56754625608789</v>
      </c>
      <c r="R566" s="5">
        <v>761.9666748046875</v>
      </c>
      <c r="S566" s="5">
        <v>730.884033203125</v>
      </c>
      <c r="T566" s="5">
        <v>1019.0145131432364</v>
      </c>
      <c r="U566" s="5">
        <v>832.11136240696533</v>
      </c>
      <c r="V566" s="5">
        <v>725.83683929878612</v>
      </c>
      <c r="W566" s="5">
        <v>780.78833283467281</v>
      </c>
      <c r="Y566" s="5">
        <v>626.15822660263711</v>
      </c>
    </row>
    <row r="567" spans="1:25">
      <c r="A567">
        <v>114.3</v>
      </c>
      <c r="B567">
        <v>3.6</v>
      </c>
      <c r="C567">
        <v>403</v>
      </c>
      <c r="D567">
        <v>178.67400000000001</v>
      </c>
      <c r="E567">
        <v>2.1872265966754161</v>
      </c>
      <c r="F567">
        <v>2314</v>
      </c>
      <c r="G567" s="35">
        <v>2429.4960641520911</v>
      </c>
      <c r="H567" s="5">
        <v>3271.5419879923402</v>
      </c>
      <c r="I567" s="5">
        <v>3271.541871742455</v>
      </c>
      <c r="J567" s="5">
        <v>3271.4685180025681</v>
      </c>
      <c r="K567" s="5">
        <v>2176.58</v>
      </c>
      <c r="L567" s="5">
        <v>2314.9640164835182</v>
      </c>
      <c r="M567" s="5">
        <v>2381</v>
      </c>
      <c r="N567" s="5">
        <v>2326.389191580618</v>
      </c>
      <c r="O567" s="5">
        <v>2370.982140408692</v>
      </c>
      <c r="P567">
        <v>2514.2704449174548</v>
      </c>
      <c r="Q567" s="5">
        <v>2057.584992169217</v>
      </c>
      <c r="R567" s="5">
        <v>2380.869140625</v>
      </c>
      <c r="S567" s="5">
        <v>2607.81640625</v>
      </c>
      <c r="T567" s="5">
        <v>2443.3528872227735</v>
      </c>
      <c r="U567" s="5">
        <v>2336.1986785909271</v>
      </c>
      <c r="V567" s="5">
        <v>2041.0847799410974</v>
      </c>
    </row>
    <row r="568" spans="1:25">
      <c r="A568">
        <v>361</v>
      </c>
      <c r="B568">
        <v>4.54</v>
      </c>
      <c r="C568">
        <v>525</v>
      </c>
      <c r="D568">
        <v>25.4</v>
      </c>
      <c r="E568">
        <v>3</v>
      </c>
      <c r="F568">
        <v>5633</v>
      </c>
      <c r="G568" s="35">
        <v>6742.9833023604706</v>
      </c>
      <c r="H568" s="5">
        <v>9303.0235720910441</v>
      </c>
      <c r="I568" s="5">
        <v>9303.0223926765375</v>
      </c>
      <c r="J568" s="5">
        <v>9302.9830930989901</v>
      </c>
      <c r="K568" s="5">
        <v>8511.6</v>
      </c>
      <c r="L568" s="5">
        <v>6378.6718502879139</v>
      </c>
      <c r="M568" s="5">
        <v>6438.5728155339802</v>
      </c>
      <c r="N568" s="5">
        <v>8444.3882511450774</v>
      </c>
      <c r="O568" s="5">
        <v>6165.8845845350916</v>
      </c>
      <c r="P568">
        <v>7332.2670497323024</v>
      </c>
      <c r="Q568" s="5">
        <v>7151.6921074666043</v>
      </c>
      <c r="R568" s="5">
        <v>6404.005859375</v>
      </c>
      <c r="S568" s="5">
        <v>4394.271484375</v>
      </c>
      <c r="T568" s="5">
        <v>5959.7788561011894</v>
      </c>
      <c r="U568" s="5">
        <v>6527.7861669689155</v>
      </c>
      <c r="V568" s="5">
        <v>5973.333132237939</v>
      </c>
      <c r="W568" s="5">
        <v>5324.8006396134269</v>
      </c>
      <c r="Y568" s="5">
        <v>4323.398562082537</v>
      </c>
    </row>
    <row r="569" spans="1:25">
      <c r="A569">
        <v>153</v>
      </c>
      <c r="B569">
        <v>1.54</v>
      </c>
      <c r="C569">
        <v>345</v>
      </c>
      <c r="D569">
        <v>73.2</v>
      </c>
      <c r="E569">
        <v>2</v>
      </c>
      <c r="F569">
        <v>1842</v>
      </c>
      <c r="G569" s="35">
        <v>2120.3806080488748</v>
      </c>
      <c r="H569" s="5">
        <v>1836.1946258296491</v>
      </c>
      <c r="I569" s="5">
        <v>1836.194617047121</v>
      </c>
      <c r="J569" s="5">
        <v>1836.2326122670461</v>
      </c>
      <c r="K569" s="5">
        <v>2218.0461538461541</v>
      </c>
      <c r="L569" s="5">
        <v>2030.7116775183219</v>
      </c>
      <c r="M569" s="5">
        <v>1974.8859465048549</v>
      </c>
      <c r="N569" s="5">
        <v>1703.104640048206</v>
      </c>
      <c r="O569" s="5">
        <v>1828.319781396759</v>
      </c>
      <c r="P569">
        <v>1632.9133582204399</v>
      </c>
      <c r="Q569" s="5">
        <v>2085.176026956336</v>
      </c>
      <c r="R569" s="5">
        <v>1892.4462890625</v>
      </c>
      <c r="S569" s="5">
        <v>1400.1673583984375</v>
      </c>
      <c r="T569" s="5">
        <v>1872.9624782272008</v>
      </c>
      <c r="U569" s="5">
        <v>1701.7173245044639</v>
      </c>
      <c r="V569" s="5">
        <v>1412.4237766733079</v>
      </c>
    </row>
    <row r="570" spans="1:25">
      <c r="A570">
        <v>152.4</v>
      </c>
      <c r="B570">
        <v>1.55</v>
      </c>
      <c r="C570">
        <v>336</v>
      </c>
      <c r="D570">
        <v>21.4</v>
      </c>
      <c r="E570">
        <v>5.9973753280839892</v>
      </c>
      <c r="F570">
        <v>682</v>
      </c>
      <c r="G570" s="35">
        <v>771.192511761795</v>
      </c>
      <c r="H570" s="5">
        <v>1281.4725545830281</v>
      </c>
      <c r="I570" s="5">
        <v>1281.4722814038939</v>
      </c>
      <c r="J570" s="5">
        <v>1281.4492190563119</v>
      </c>
      <c r="K570" s="5">
        <v>972.24444444444453</v>
      </c>
      <c r="L570" s="5">
        <v>822.46657260795087</v>
      </c>
      <c r="M570" s="5">
        <v>732.85153721682843</v>
      </c>
      <c r="N570" s="5">
        <v>712.25350286160017</v>
      </c>
      <c r="O570" s="5">
        <v>658.46682979806599</v>
      </c>
      <c r="P570">
        <v>760.97967657277854</v>
      </c>
      <c r="Q570" s="5">
        <v>830.46596329895772</v>
      </c>
      <c r="R570" s="5">
        <v>686.4217529296875</v>
      </c>
      <c r="S570" s="5">
        <v>788.0311279296875</v>
      </c>
      <c r="T570" s="5">
        <v>686.96460789769935</v>
      </c>
      <c r="U570" s="5">
        <v>774.48321211631242</v>
      </c>
      <c r="V570" s="5">
        <v>669.42057871436714</v>
      </c>
      <c r="W570" s="5">
        <v>645.9095666451027</v>
      </c>
      <c r="Y570" s="5">
        <v>572.41057751040603</v>
      </c>
    </row>
    <row r="571" spans="1:25">
      <c r="A571">
        <v>238</v>
      </c>
      <c r="B571">
        <v>4.54</v>
      </c>
      <c r="C571">
        <v>507</v>
      </c>
      <c r="D571">
        <v>40.5</v>
      </c>
      <c r="E571">
        <v>3</v>
      </c>
      <c r="F571">
        <v>3647</v>
      </c>
      <c r="G571" s="35">
        <v>3583</v>
      </c>
      <c r="H571" s="5">
        <v>5401.0517801893893</v>
      </c>
      <c r="I571" s="5">
        <v>5401.0513206281066</v>
      </c>
      <c r="J571" s="5">
        <v>5401.0430822518538</v>
      </c>
      <c r="K571" s="5">
        <v>4937.5</v>
      </c>
      <c r="L571" s="5">
        <v>4039.4304764952421</v>
      </c>
      <c r="M571" s="5">
        <v>3583</v>
      </c>
      <c r="N571" s="5">
        <v>3645.5883190456311</v>
      </c>
      <c r="O571" s="5">
        <v>3789.2579563815962</v>
      </c>
      <c r="P571">
        <v>3658.4930663200171</v>
      </c>
      <c r="Q571" s="5">
        <v>3571.9682085251839</v>
      </c>
      <c r="R571" s="5">
        <v>3593.287841796875</v>
      </c>
      <c r="S571" s="5">
        <v>3615.6142578125</v>
      </c>
      <c r="T571" s="5">
        <v>3976.0181474607007</v>
      </c>
      <c r="U571" s="5">
        <v>4232.9882848753796</v>
      </c>
      <c r="V571" s="5">
        <v>3859.0677402960882</v>
      </c>
      <c r="W571" s="5">
        <v>3511.3927675629502</v>
      </c>
      <c r="Y571" s="5">
        <v>3240.046403187464</v>
      </c>
    </row>
    <row r="572" spans="1:25">
      <c r="A572">
        <v>157.5</v>
      </c>
      <c r="B572">
        <v>1.5</v>
      </c>
      <c r="C572">
        <v>308</v>
      </c>
      <c r="D572">
        <v>18.7</v>
      </c>
      <c r="E572">
        <v>2.8571428571428572</v>
      </c>
      <c r="F572">
        <v>815.4</v>
      </c>
      <c r="G572" s="35">
        <v>1083.8895530554771</v>
      </c>
      <c r="H572" s="5">
        <v>1041.056434672359</v>
      </c>
      <c r="I572" s="5">
        <v>1041.0565113102359</v>
      </c>
      <c r="J572" s="5">
        <v>1041.124504537484</v>
      </c>
      <c r="K572" s="5">
        <v>1226.359976</v>
      </c>
      <c r="L572" s="5">
        <v>1091.42146328079</v>
      </c>
      <c r="M572" s="5">
        <v>942.98365695792882</v>
      </c>
      <c r="N572" s="5">
        <v>886.73206261915072</v>
      </c>
      <c r="O572" s="5">
        <v>1007.166622116918</v>
      </c>
      <c r="P572">
        <v>974.72783111128956</v>
      </c>
      <c r="Q572" s="5">
        <v>1055.382690740628</v>
      </c>
      <c r="R572" s="5">
        <v>922.0084228515625</v>
      </c>
      <c r="S572" s="5">
        <v>861.4412841796875</v>
      </c>
      <c r="T572" s="5">
        <v>881.38990512651412</v>
      </c>
      <c r="U572" s="5">
        <v>717.38286701579761</v>
      </c>
      <c r="V572" s="5">
        <v>619.65396348952333</v>
      </c>
      <c r="W572" s="5">
        <v>594.72673637276466</v>
      </c>
    </row>
    <row r="573" spans="1:25">
      <c r="A573">
        <v>169</v>
      </c>
      <c r="B573">
        <v>7.5</v>
      </c>
      <c r="C573">
        <v>360</v>
      </c>
      <c r="D573">
        <v>70.8</v>
      </c>
      <c r="E573">
        <v>4.0828402366863914</v>
      </c>
      <c r="F573">
        <v>4190</v>
      </c>
      <c r="G573" s="35">
        <v>3221.255186991174</v>
      </c>
      <c r="H573" s="5">
        <v>4069.2050248861628</v>
      </c>
      <c r="I573" s="5">
        <v>4069.2049429284598</v>
      </c>
      <c r="J573" s="5">
        <v>4069.146456502343</v>
      </c>
      <c r="K573" s="5">
        <v>2807.3046675043679</v>
      </c>
      <c r="L573" s="5">
        <v>3147.2274400251081</v>
      </c>
      <c r="M573" s="5">
        <v>3171.2225724441209</v>
      </c>
      <c r="N573" s="5">
        <v>3174.1760651514919</v>
      </c>
      <c r="O573" s="5">
        <v>3450.344491686742</v>
      </c>
      <c r="P573">
        <v>3008.6837024721472</v>
      </c>
      <c r="Q573" s="5">
        <v>2561.5160060969229</v>
      </c>
      <c r="R573" s="5">
        <v>3092.778564453125</v>
      </c>
      <c r="S573" s="5">
        <v>3576.52978515625</v>
      </c>
      <c r="T573" s="5">
        <v>3519.4311480588831</v>
      </c>
      <c r="U573" s="5">
        <v>3537.9805933823627</v>
      </c>
      <c r="V573" s="5">
        <v>3096.1295527163838</v>
      </c>
      <c r="W573" s="5">
        <v>3243.4574088020045</v>
      </c>
    </row>
    <row r="574" spans="1:25">
      <c r="A574">
        <v>300</v>
      </c>
      <c r="B574">
        <v>12</v>
      </c>
      <c r="C574">
        <v>479</v>
      </c>
      <c r="D574">
        <v>31.5</v>
      </c>
      <c r="E574">
        <v>5.2666666666666666</v>
      </c>
      <c r="F574">
        <v>9823</v>
      </c>
      <c r="G574" s="35">
        <v>7914.5843085417146</v>
      </c>
      <c r="H574" s="5">
        <v>9321.1425209540575</v>
      </c>
      <c r="I574" s="5">
        <v>9321.1418091164596</v>
      </c>
      <c r="J574" s="5">
        <v>9321.009604587256</v>
      </c>
      <c r="K574" s="5">
        <v>6896.4076014471329</v>
      </c>
      <c r="L574" s="5">
        <v>5939.9077300391882</v>
      </c>
      <c r="M574" s="5">
        <v>7770.7552887481224</v>
      </c>
      <c r="N574" s="5">
        <v>7359.9038907669064</v>
      </c>
      <c r="O574" s="5">
        <v>7020.9264154778884</v>
      </c>
      <c r="P574">
        <v>7966.1715081941966</v>
      </c>
      <c r="Q574" s="5">
        <v>5197.5245151786194</v>
      </c>
      <c r="R574" s="5">
        <v>5998.921875</v>
      </c>
      <c r="S574" s="5">
        <v>10998.5419921875</v>
      </c>
      <c r="T574" s="5">
        <v>9716.7107894869787</v>
      </c>
      <c r="U574" s="5">
        <v>10309.679411292858</v>
      </c>
      <c r="V574" s="5">
        <v>9262.3314547167047</v>
      </c>
      <c r="W574" s="5">
        <v>8440.8911040016392</v>
      </c>
      <c r="Y574" s="5">
        <v>6816.7423710287276</v>
      </c>
    </row>
    <row r="575" spans="1:25">
      <c r="A575">
        <v>166</v>
      </c>
      <c r="B575">
        <v>5</v>
      </c>
      <c r="C575">
        <v>274.60000000000002</v>
      </c>
      <c r="D575">
        <v>18.720078217418219</v>
      </c>
      <c r="E575">
        <v>3.975903614457831</v>
      </c>
      <c r="F575">
        <v>2109</v>
      </c>
      <c r="G575" s="35">
        <v>1854.333333333333</v>
      </c>
      <c r="H575" s="5">
        <v>2207.0608244579189</v>
      </c>
      <c r="I575" s="5">
        <v>2207.0609286827862</v>
      </c>
      <c r="J575" s="5">
        <v>2207.0845582204101</v>
      </c>
      <c r="K575" s="5">
        <v>1843.879204579544</v>
      </c>
      <c r="L575" s="5">
        <v>1874.3009888620099</v>
      </c>
      <c r="M575" s="5">
        <v>1876.1539642488749</v>
      </c>
      <c r="N575" s="5">
        <v>1898.2263797576691</v>
      </c>
      <c r="O575" s="5">
        <v>1882.0515618117649</v>
      </c>
      <c r="P575">
        <v>1859.3124435078701</v>
      </c>
      <c r="Q575" s="5">
        <v>1747.6595612667779</v>
      </c>
      <c r="R575" s="5">
        <v>1873.790893554688</v>
      </c>
      <c r="S575" s="5">
        <v>1801.559814453125</v>
      </c>
      <c r="T575" s="5">
        <v>1679.9889098782562</v>
      </c>
      <c r="U575" s="5">
        <v>1482.8280124552666</v>
      </c>
      <c r="V575" s="5">
        <v>1323.3975976374068</v>
      </c>
      <c r="W575" s="5">
        <v>1267.3536181476302</v>
      </c>
    </row>
    <row r="576" spans="1:25">
      <c r="A576">
        <v>76.453999999999994</v>
      </c>
      <c r="B576">
        <v>1.7272000000000001</v>
      </c>
      <c r="C576">
        <v>363.28476108320001</v>
      </c>
      <c r="D576">
        <v>33.301677662400003</v>
      </c>
      <c r="E576">
        <v>1.994352159468439</v>
      </c>
      <c r="F576">
        <v>434.59125031999997</v>
      </c>
      <c r="G576" s="35">
        <v>427.93914612138423</v>
      </c>
      <c r="H576" s="5">
        <v>-1173.060638995629</v>
      </c>
      <c r="I576" s="5">
        <v>-1173.060045556862</v>
      </c>
      <c r="J576" s="5">
        <v>-1172.9765279473991</v>
      </c>
      <c r="K576" s="5">
        <v>416.24422164666657</v>
      </c>
      <c r="L576" s="5">
        <v>405.10990740627068</v>
      </c>
      <c r="M576" s="5">
        <v>435.10834502268528</v>
      </c>
      <c r="N576" s="5">
        <v>392.25410088574779</v>
      </c>
      <c r="O576" s="5">
        <v>424.67776572995109</v>
      </c>
      <c r="P576">
        <v>400.89713619288801</v>
      </c>
      <c r="Q576" s="5">
        <v>411.90861182335101</v>
      </c>
      <c r="R576" s="5">
        <v>429.81643676757813</v>
      </c>
      <c r="S576" s="5">
        <v>475.4317626953125</v>
      </c>
      <c r="T576" s="5">
        <v>467.76709873909402</v>
      </c>
      <c r="U576" s="5">
        <v>378.012194409985</v>
      </c>
      <c r="V576" s="5">
        <v>331.75317430364976</v>
      </c>
      <c r="W576" s="5">
        <v>350.650707124446</v>
      </c>
      <c r="X576" s="5">
        <v>371.94492952109039</v>
      </c>
      <c r="Y576" s="5">
        <v>278.79398222263382</v>
      </c>
    </row>
    <row r="577" spans="1:25">
      <c r="A577">
        <v>88.5</v>
      </c>
      <c r="B577">
        <v>4</v>
      </c>
      <c r="C577">
        <v>232</v>
      </c>
      <c r="D577">
        <v>33.200000000000003</v>
      </c>
      <c r="E577">
        <v>4</v>
      </c>
      <c r="F577">
        <v>602</v>
      </c>
      <c r="G577" s="35">
        <v>771.20434648643629</v>
      </c>
      <c r="H577" s="5">
        <v>-528.00487158524265</v>
      </c>
      <c r="I577" s="5">
        <v>-528.00434950137515</v>
      </c>
      <c r="J577" s="5">
        <v>-527.95438876049093</v>
      </c>
      <c r="K577" s="5">
        <v>876.26080817667525</v>
      </c>
      <c r="L577" s="5">
        <v>762.5562722124248</v>
      </c>
      <c r="M577" s="5">
        <v>680.96407750664173</v>
      </c>
      <c r="N577" s="5">
        <v>663.73269970541435</v>
      </c>
      <c r="O577" s="5">
        <v>697.1588421699139</v>
      </c>
      <c r="P577">
        <v>635.67105448124187</v>
      </c>
      <c r="Q577" s="5">
        <v>613.68245547059576</v>
      </c>
      <c r="R577" s="5">
        <v>690.8721923828125</v>
      </c>
      <c r="S577" s="5">
        <v>859.179931640625</v>
      </c>
      <c r="T577" s="5">
        <v>703.46901831997707</v>
      </c>
      <c r="U577" s="5">
        <v>568.06276791414314</v>
      </c>
      <c r="V577" s="5">
        <v>502.18850483690261</v>
      </c>
      <c r="W577" s="5">
        <v>525.0432920382716</v>
      </c>
      <c r="Y577" s="5">
        <v>403.23028563243838</v>
      </c>
    </row>
    <row r="578" spans="1:25">
      <c r="A578">
        <v>114.3</v>
      </c>
      <c r="B578">
        <v>3.35</v>
      </c>
      <c r="C578">
        <v>287.33</v>
      </c>
      <c r="D578">
        <v>33.489107602417988</v>
      </c>
      <c r="E578">
        <v>3</v>
      </c>
      <c r="F578">
        <v>737</v>
      </c>
      <c r="G578" s="35">
        <v>767.33333333333348</v>
      </c>
      <c r="H578" s="5">
        <v>309.15327298577489</v>
      </c>
      <c r="I578" s="5">
        <v>309.15364663797351</v>
      </c>
      <c r="J578" s="5">
        <v>309.20940786265459</v>
      </c>
      <c r="K578" s="5">
        <v>978.50140023792312</v>
      </c>
      <c r="L578" s="5">
        <v>916.97150100425495</v>
      </c>
      <c r="M578" s="5">
        <v>880.94884574854609</v>
      </c>
      <c r="N578" s="5">
        <v>765.72344207771744</v>
      </c>
      <c r="O578" s="5">
        <v>743.8866130061765</v>
      </c>
      <c r="P578">
        <v>780.33681034465576</v>
      </c>
      <c r="Q578" s="5">
        <v>786.10062965020097</v>
      </c>
      <c r="R578" s="5">
        <v>716.864501953125</v>
      </c>
      <c r="S578" s="5">
        <v>885.5986328125</v>
      </c>
      <c r="T578" s="5">
        <v>960.80997445284117</v>
      </c>
      <c r="U578" s="5">
        <v>848.0445859208412</v>
      </c>
      <c r="V578" s="5">
        <v>744.75245202246185</v>
      </c>
      <c r="W578" s="5">
        <v>796.84440093923831</v>
      </c>
      <c r="X578" s="5">
        <v>794.50356143742147</v>
      </c>
      <c r="Y578" s="5">
        <v>620.93258314095601</v>
      </c>
    </row>
    <row r="579" spans="1:25">
      <c r="A579">
        <v>90</v>
      </c>
      <c r="B579">
        <v>1</v>
      </c>
      <c r="C579">
        <v>328.95</v>
      </c>
      <c r="D579">
        <v>34.826048751810887</v>
      </c>
      <c r="E579">
        <v>3.333333333333333</v>
      </c>
      <c r="F579">
        <v>346.5</v>
      </c>
      <c r="G579" s="35">
        <v>345.35</v>
      </c>
      <c r="H579" s="5">
        <v>-898.1291622164581</v>
      </c>
      <c r="I579" s="5">
        <v>-898.12882293988423</v>
      </c>
      <c r="J579" s="5">
        <v>-898.07347460928167</v>
      </c>
      <c r="K579" s="5">
        <v>416.24422164666657</v>
      </c>
      <c r="L579" s="5">
        <v>350.83207049950778</v>
      </c>
      <c r="M579" s="5">
        <v>345.40922330097038</v>
      </c>
      <c r="N579" s="5">
        <v>351.94023470648119</v>
      </c>
      <c r="O579" s="5">
        <v>343.47292495218039</v>
      </c>
      <c r="P579">
        <v>340.21365263739722</v>
      </c>
      <c r="Q579" s="5">
        <v>381.40000000000009</v>
      </c>
      <c r="R579" s="5">
        <v>345.58322143554688</v>
      </c>
      <c r="S579" s="5">
        <v>313.7125244140625</v>
      </c>
      <c r="T579" s="5">
        <v>469.82837706528153</v>
      </c>
      <c r="U579" s="5">
        <v>360.8158161860901</v>
      </c>
      <c r="V579" s="5">
        <v>307.2051097662042</v>
      </c>
      <c r="W579" s="5">
        <v>322.16206587978792</v>
      </c>
      <c r="Y579" s="5">
        <v>290.02861644816301</v>
      </c>
    </row>
    <row r="580" spans="1:25">
      <c r="A580">
        <v>108</v>
      </c>
      <c r="B580">
        <v>4</v>
      </c>
      <c r="C580">
        <v>338.9</v>
      </c>
      <c r="D580">
        <v>18.24227097707757</v>
      </c>
      <c r="E580">
        <v>3</v>
      </c>
      <c r="F580">
        <v>1073</v>
      </c>
      <c r="G580" s="35">
        <v>1033.3766902338209</v>
      </c>
      <c r="H580" s="5">
        <v>190.42036892167241</v>
      </c>
      <c r="I580" s="5">
        <v>190.4208745811784</v>
      </c>
      <c r="J580" s="5">
        <v>190.48270537881669</v>
      </c>
      <c r="K580" s="5">
        <v>876.26080817667525</v>
      </c>
      <c r="L580" s="5">
        <v>980.22582044158435</v>
      </c>
      <c r="M580" s="5">
        <v>1032.9940241292211</v>
      </c>
      <c r="N580" s="5">
        <v>893.21994649996896</v>
      </c>
      <c r="O580" s="5">
        <v>965.99028625850144</v>
      </c>
      <c r="P580">
        <v>888.47515179704396</v>
      </c>
      <c r="Q580" s="5">
        <v>932.77676362676516</v>
      </c>
      <c r="R580" s="5">
        <v>992.63970947265625</v>
      </c>
      <c r="S580" s="5">
        <v>856.4091796875</v>
      </c>
      <c r="T580" s="5">
        <v>929.60804269168182</v>
      </c>
      <c r="U580" s="5">
        <v>860.78748205919442</v>
      </c>
      <c r="V580" s="5">
        <v>775.35878686341596</v>
      </c>
      <c r="W580" s="5">
        <v>707.83683080308924</v>
      </c>
    </row>
    <row r="581" spans="1:25">
      <c r="A581">
        <v>168.3</v>
      </c>
      <c r="B581">
        <v>4.47</v>
      </c>
      <c r="C581">
        <v>302</v>
      </c>
      <c r="D581">
        <v>23.4</v>
      </c>
      <c r="E581">
        <v>4.830659536541889</v>
      </c>
      <c r="F581">
        <v>1744</v>
      </c>
      <c r="G581" s="35">
        <v>2081.1281702837209</v>
      </c>
      <c r="H581" s="5">
        <v>2353.6444179850541</v>
      </c>
      <c r="I581" s="5">
        <v>2353.644347698023</v>
      </c>
      <c r="J581" s="5">
        <v>2353.6396779716251</v>
      </c>
      <c r="K581" s="5">
        <v>1562.1327126069129</v>
      </c>
      <c r="L581" s="5">
        <v>1519.221761269026</v>
      </c>
      <c r="M581" s="5">
        <v>1735.5366865176641</v>
      </c>
      <c r="N581" s="5">
        <v>1410.715211505498</v>
      </c>
      <c r="O581" s="5">
        <v>1591.144183739679</v>
      </c>
      <c r="P581">
        <v>1544.349651828572</v>
      </c>
      <c r="Q581" s="5">
        <v>1547.2780442699479</v>
      </c>
      <c r="R581" s="5">
        <v>1717.642578125</v>
      </c>
      <c r="S581" s="5">
        <v>1320.1048583984375</v>
      </c>
      <c r="T581" s="5">
        <v>1593.3501105986797</v>
      </c>
      <c r="U581" s="5">
        <v>1592.2992777904176</v>
      </c>
      <c r="V581" s="5">
        <v>1411.6165506873372</v>
      </c>
      <c r="W581" s="5">
        <v>1396.3053076391111</v>
      </c>
      <c r="Y581" s="5">
        <v>1120.9635804390091</v>
      </c>
    </row>
    <row r="582" spans="1:25">
      <c r="A582">
        <v>121</v>
      </c>
      <c r="B582">
        <v>12</v>
      </c>
      <c r="C582">
        <v>294.1995</v>
      </c>
      <c r="D582">
        <v>7.6104507324999986</v>
      </c>
      <c r="E582">
        <v>1.6528925619834709</v>
      </c>
      <c r="F582">
        <v>2706.6354079043372</v>
      </c>
      <c r="G582" s="35">
        <v>2778.6557332707589</v>
      </c>
      <c r="H582" s="5">
        <v>2277.1866384558921</v>
      </c>
      <c r="I582" s="5">
        <v>2277.187615809828</v>
      </c>
      <c r="J582" s="5">
        <v>2277.247163864713</v>
      </c>
      <c r="K582" s="5">
        <v>2577.3069902728239</v>
      </c>
      <c r="L582" s="5">
        <v>2691.414104719338</v>
      </c>
      <c r="M582" s="5">
        <v>2794.8952581620938</v>
      </c>
      <c r="N582" s="5">
        <v>2721.0432275250209</v>
      </c>
      <c r="O582" s="5">
        <v>2273.8683079203088</v>
      </c>
      <c r="P582">
        <v>2445.0232914193311</v>
      </c>
      <c r="Q582" s="5">
        <v>2473.416905391211</v>
      </c>
      <c r="R582" s="5">
        <v>2593.137451171875</v>
      </c>
      <c r="S582" s="5">
        <v>2628.64697265625</v>
      </c>
      <c r="T582" s="5">
        <v>2656.2262343779103</v>
      </c>
      <c r="U582" s="5">
        <v>2014.6991441077651</v>
      </c>
      <c r="V582" s="5">
        <v>1826.5387459718718</v>
      </c>
    </row>
    <row r="583" spans="1:25">
      <c r="A583">
        <v>320</v>
      </c>
      <c r="B583">
        <v>7</v>
      </c>
      <c r="C583">
        <v>250.06957499999999</v>
      </c>
      <c r="D583">
        <v>43.9534053</v>
      </c>
      <c r="E583">
        <v>1.625</v>
      </c>
      <c r="F583">
        <v>5893.7966672119792</v>
      </c>
      <c r="G583" s="35">
        <v>6089.9050190545013</v>
      </c>
      <c r="H583" s="5">
        <v>7847.6521856900563</v>
      </c>
      <c r="I583" s="5">
        <v>7847.6517317992939</v>
      </c>
      <c r="J583" s="5">
        <v>7847.6870607000365</v>
      </c>
      <c r="K583" s="5">
        <v>5999.0670352489578</v>
      </c>
      <c r="L583" s="5">
        <v>6138.7507226588914</v>
      </c>
      <c r="M583" s="5">
        <v>6105.2446877132024</v>
      </c>
      <c r="N583" s="5">
        <v>6072.8075335849626</v>
      </c>
      <c r="O583" s="5">
        <v>5969.9438544141976</v>
      </c>
      <c r="P583">
        <v>5951.7288580690974</v>
      </c>
      <c r="Q583" s="5">
        <v>6593.9597210352013</v>
      </c>
      <c r="R583" s="5">
        <v>6043.654296875</v>
      </c>
      <c r="S583" s="5">
        <v>5991.19384765625</v>
      </c>
      <c r="T583" s="5">
        <v>6566.7343964881102</v>
      </c>
      <c r="U583" s="5">
        <v>6020.8849889683215</v>
      </c>
      <c r="V583" s="5">
        <v>5159.8697705969671</v>
      </c>
      <c r="W583" s="5">
        <v>5525.9984364379752</v>
      </c>
      <c r="X583" s="5">
        <v>6053.1641681676119</v>
      </c>
      <c r="Y583" s="5">
        <v>4782.0824387642333</v>
      </c>
    </row>
    <row r="584" spans="1:25">
      <c r="A584">
        <v>114.3</v>
      </c>
      <c r="B584">
        <v>3.35</v>
      </c>
      <c r="C584">
        <v>287.33</v>
      </c>
      <c r="D584">
        <v>32.68</v>
      </c>
      <c r="E584">
        <v>6.99912510936133</v>
      </c>
      <c r="F584">
        <v>631.5</v>
      </c>
      <c r="G584" s="35">
        <v>639.58731932046192</v>
      </c>
      <c r="H584" s="5">
        <v>474.97377678524782</v>
      </c>
      <c r="I584" s="5">
        <v>474.9736948571699</v>
      </c>
      <c r="J584" s="5">
        <v>474.92248966483862</v>
      </c>
      <c r="K584" s="5">
        <v>798.0724507562602</v>
      </c>
      <c r="L584" s="5">
        <v>703.71120454140396</v>
      </c>
      <c r="M584" s="5">
        <v>678.30715533980583</v>
      </c>
      <c r="N584" s="5">
        <v>750.06492692198924</v>
      </c>
      <c r="O584" s="5">
        <v>724.99751506481368</v>
      </c>
      <c r="P584">
        <v>745.74567533566585</v>
      </c>
      <c r="Q584" s="5">
        <v>783.76816924861737</v>
      </c>
      <c r="R584" s="5">
        <v>711.012451171875</v>
      </c>
      <c r="S584" s="5">
        <v>900.3231201171875</v>
      </c>
      <c r="T584" s="5">
        <v>746.7556801209015</v>
      </c>
      <c r="U584" s="5">
        <v>840.68724796059166</v>
      </c>
      <c r="V584" s="5">
        <v>738.86658165426229</v>
      </c>
      <c r="W584" s="5">
        <v>787.47590714159048</v>
      </c>
      <c r="X584" s="5">
        <v>655.76161841550606</v>
      </c>
      <c r="Y584" s="5">
        <v>597.4218677297248</v>
      </c>
    </row>
    <row r="585" spans="1:25">
      <c r="A585">
        <v>47.28</v>
      </c>
      <c r="B585">
        <v>1.87</v>
      </c>
      <c r="C585">
        <v>360</v>
      </c>
      <c r="D585">
        <v>23.98620160597271</v>
      </c>
      <c r="E585">
        <v>7.1912013536379016</v>
      </c>
      <c r="F585">
        <v>215</v>
      </c>
      <c r="G585" s="35">
        <v>157.0416217536015</v>
      </c>
      <c r="H585" s="5">
        <v>-1969.0593738908831</v>
      </c>
      <c r="I585" s="5">
        <v>-1969.059179856753</v>
      </c>
      <c r="J585" s="5">
        <v>-1969.1041251142781</v>
      </c>
      <c r="K585" s="5">
        <v>175.875</v>
      </c>
      <c r="L585" s="5">
        <v>160.48208650324031</v>
      </c>
      <c r="M585" s="5">
        <v>152.0275080906149</v>
      </c>
      <c r="N585" s="5">
        <v>178.209183731048</v>
      </c>
      <c r="O585" s="5">
        <v>184.29515019623301</v>
      </c>
      <c r="P585">
        <v>175.81462361303201</v>
      </c>
      <c r="Q585" s="5">
        <v>171.8866928082015</v>
      </c>
      <c r="R585" s="5">
        <v>182.70735168457031</v>
      </c>
      <c r="S585" s="5">
        <v>147.4425048828125</v>
      </c>
      <c r="T585" s="5">
        <v>149.95186079715148</v>
      </c>
      <c r="U585" s="5">
        <v>191.29556501410386</v>
      </c>
      <c r="V585" s="5">
        <v>171.78307281930688</v>
      </c>
      <c r="W585" s="5">
        <v>161.80247305515473</v>
      </c>
      <c r="Y585" s="5">
        <v>125.3011480014428</v>
      </c>
    </row>
    <row r="586" spans="1:25">
      <c r="A586">
        <v>108</v>
      </c>
      <c r="B586">
        <v>10</v>
      </c>
      <c r="C586">
        <v>366.2</v>
      </c>
      <c r="D586">
        <v>87.04</v>
      </c>
      <c r="E586">
        <v>3</v>
      </c>
      <c r="F586">
        <v>2266</v>
      </c>
      <c r="G586" s="35">
        <v>2260.2123754999611</v>
      </c>
      <c r="H586" s="5">
        <v>3062.6020635372502</v>
      </c>
      <c r="I586" s="5">
        <v>3062.6025893938559</v>
      </c>
      <c r="J586" s="5">
        <v>3062.544241236028</v>
      </c>
      <c r="K586" s="5">
        <v>2353.625</v>
      </c>
      <c r="L586" s="5">
        <v>2275.3010192307688</v>
      </c>
      <c r="M586" s="5">
        <v>2279.6504854368932</v>
      </c>
      <c r="N586" s="5">
        <v>2282.0613826616168</v>
      </c>
      <c r="O586" s="5">
        <v>2304.7891249194881</v>
      </c>
      <c r="P586">
        <v>2338.0733597555882</v>
      </c>
      <c r="Q586" s="5">
        <v>2066.1832977747572</v>
      </c>
      <c r="R586" s="5">
        <v>2327.099853515625</v>
      </c>
      <c r="S586" s="5">
        <v>2337.563232421875</v>
      </c>
      <c r="T586" s="5">
        <v>2300.5510937600839</v>
      </c>
      <c r="U586" s="5">
        <v>2355.8443911070294</v>
      </c>
      <c r="V586" s="5">
        <v>2087.51311897395</v>
      </c>
    </row>
    <row r="587" spans="1:25">
      <c r="A587">
        <v>114.49</v>
      </c>
      <c r="B587">
        <v>3.75</v>
      </c>
      <c r="C587">
        <v>343</v>
      </c>
      <c r="D587">
        <v>46.080000000000013</v>
      </c>
      <c r="E587">
        <v>2.6142021137217228</v>
      </c>
      <c r="F587">
        <v>1038</v>
      </c>
      <c r="G587" s="35">
        <v>1058.064743710974</v>
      </c>
      <c r="H587" s="5">
        <v>736.73405526016199</v>
      </c>
      <c r="I587" s="5">
        <v>736.73444286537028</v>
      </c>
      <c r="J587" s="5">
        <v>736.78108651737671</v>
      </c>
      <c r="K587" s="5">
        <v>876.26080817667525</v>
      </c>
      <c r="L587" s="5">
        <v>1071.0846254213891</v>
      </c>
      <c r="M587" s="5">
        <v>1085.7620082367901</v>
      </c>
      <c r="N587" s="5">
        <v>1077.595868183058</v>
      </c>
      <c r="O587" s="5">
        <v>1132.733133550058</v>
      </c>
      <c r="P587">
        <v>1147.8579172181869</v>
      </c>
      <c r="Q587" s="5">
        <v>1203.986013773718</v>
      </c>
      <c r="R587" s="5">
        <v>1101.451904296875</v>
      </c>
      <c r="S587" s="5">
        <v>1065.09033203125</v>
      </c>
      <c r="T587" s="5">
        <v>1221.9739319109015</v>
      </c>
      <c r="U587" s="5">
        <v>1139.2028667391917</v>
      </c>
      <c r="V587" s="5">
        <v>999.44912093261746</v>
      </c>
      <c r="W587" s="5">
        <v>1078.6338390663834</v>
      </c>
      <c r="X587" s="5">
        <v>1071.311017219391</v>
      </c>
      <c r="Y587" s="5">
        <v>836.35288880379301</v>
      </c>
    </row>
    <row r="588" spans="1:25">
      <c r="A588">
        <v>166</v>
      </c>
      <c r="B588">
        <v>5</v>
      </c>
      <c r="C588">
        <v>274.60000000000002</v>
      </c>
      <c r="D588">
        <v>18.720078217418219</v>
      </c>
      <c r="E588">
        <v>3.975903614457831</v>
      </c>
      <c r="F588">
        <v>1765</v>
      </c>
      <c r="G588" s="35">
        <v>1854.333333333333</v>
      </c>
      <c r="H588" s="5">
        <v>2207.0608244579189</v>
      </c>
      <c r="I588" s="5">
        <v>2207.0609286827862</v>
      </c>
      <c r="J588" s="5">
        <v>2207.0845582204101</v>
      </c>
      <c r="K588" s="5">
        <v>1843.879204579544</v>
      </c>
      <c r="L588" s="5">
        <v>1874.3009888620099</v>
      </c>
      <c r="M588" s="5">
        <v>1876.1539642488749</v>
      </c>
      <c r="N588" s="5">
        <v>1898.2263797576691</v>
      </c>
      <c r="O588" s="5">
        <v>1882.0515618117649</v>
      </c>
      <c r="P588">
        <v>1859.3124435078701</v>
      </c>
      <c r="Q588" s="5">
        <v>1747.6595612667779</v>
      </c>
      <c r="R588" s="5">
        <v>1873.790893554688</v>
      </c>
      <c r="S588" s="5">
        <v>1805.3082275390625</v>
      </c>
      <c r="T588" s="5">
        <v>1679.9889098782562</v>
      </c>
      <c r="U588" s="5">
        <v>1482.8280124552666</v>
      </c>
      <c r="V588" s="5">
        <v>1323.3975976374068</v>
      </c>
      <c r="W588" s="5">
        <v>1267.3536181476302</v>
      </c>
    </row>
    <row r="589" spans="1:25">
      <c r="A589">
        <v>108</v>
      </c>
      <c r="B589">
        <v>5.5</v>
      </c>
      <c r="C589">
        <v>383.1</v>
      </c>
      <c r="D589">
        <v>102.32</v>
      </c>
      <c r="E589">
        <v>3</v>
      </c>
      <c r="F589">
        <v>2021</v>
      </c>
      <c r="G589" s="35">
        <v>1934.1364510633621</v>
      </c>
      <c r="H589" s="5">
        <v>2199.7528365331982</v>
      </c>
      <c r="I589" s="5">
        <v>2199.7530574966549</v>
      </c>
      <c r="J589" s="5">
        <v>2199.7058434675769</v>
      </c>
      <c r="K589" s="5">
        <v>1986.818181818182</v>
      </c>
      <c r="L589" s="5">
        <v>1943.687956730769</v>
      </c>
      <c r="M589" s="5">
        <v>1942.7177993527509</v>
      </c>
      <c r="N589" s="5">
        <v>2077.048271634827</v>
      </c>
      <c r="O589" s="5">
        <v>2050.7918473369218</v>
      </c>
      <c r="P589">
        <v>1959.57451740485</v>
      </c>
      <c r="Q589" s="5">
        <v>1922.0259026769511</v>
      </c>
      <c r="R589" s="5">
        <v>1991.102294921875</v>
      </c>
      <c r="S589" s="5">
        <v>1811.2908935546875</v>
      </c>
      <c r="T589" s="5">
        <v>1950.7428986163573</v>
      </c>
      <c r="U589" s="5">
        <v>1733.1626315918472</v>
      </c>
      <c r="V589" s="5">
        <v>1614.7071310679191</v>
      </c>
    </row>
    <row r="590" spans="1:25">
      <c r="A590">
        <v>133</v>
      </c>
      <c r="B590">
        <v>4.7</v>
      </c>
      <c r="C590">
        <v>352</v>
      </c>
      <c r="D590">
        <v>106.02</v>
      </c>
      <c r="E590">
        <v>3.496240601503759</v>
      </c>
      <c r="F590">
        <v>2273</v>
      </c>
      <c r="G590" s="35">
        <v>2205.5</v>
      </c>
      <c r="H590" s="5">
        <v>2744.927913812317</v>
      </c>
      <c r="I590" s="5">
        <v>2744.9279097387011</v>
      </c>
      <c r="J590" s="5">
        <v>2744.8855485556041</v>
      </c>
      <c r="K590" s="5">
        <v>2156.3000000000002</v>
      </c>
      <c r="L590" s="5">
        <v>2198.0816875628461</v>
      </c>
      <c r="M590" s="5">
        <v>2205.5</v>
      </c>
      <c r="N590" s="5">
        <v>2300.0027128962752</v>
      </c>
      <c r="O590" s="5">
        <v>2221.8629651128449</v>
      </c>
      <c r="P590">
        <v>2305.9461666278671</v>
      </c>
      <c r="Q590" s="5">
        <v>2010.4380450646031</v>
      </c>
      <c r="R590" s="5">
        <v>2206.784423828125</v>
      </c>
      <c r="S590" s="5">
        <v>2294.57861328125</v>
      </c>
      <c r="T590" s="5">
        <v>2331.0845102012177</v>
      </c>
      <c r="U590" s="5">
        <v>2232.3200266224858</v>
      </c>
      <c r="V590" s="5">
        <v>2012.7314839505352</v>
      </c>
    </row>
    <row r="591" spans="1:25">
      <c r="A591">
        <v>164.5</v>
      </c>
      <c r="B591">
        <v>2.34</v>
      </c>
      <c r="C591">
        <v>315</v>
      </c>
      <c r="D591">
        <v>46.763208585700767</v>
      </c>
      <c r="E591">
        <v>6.0182370820668689</v>
      </c>
      <c r="F591">
        <v>1972</v>
      </c>
      <c r="G591" s="35">
        <v>1154.0598706546839</v>
      </c>
      <c r="H591" s="5">
        <v>2215.7571828354639</v>
      </c>
      <c r="I591" s="5">
        <v>2215.756788143693</v>
      </c>
      <c r="J591" s="5">
        <v>2215.7088261293989</v>
      </c>
      <c r="K591" s="5">
        <v>1717.7872221118139</v>
      </c>
      <c r="L591" s="5">
        <v>1842.0288022516879</v>
      </c>
      <c r="M591" s="5">
        <v>1829.4775566343039</v>
      </c>
      <c r="N591" s="5">
        <v>1581.9135564671151</v>
      </c>
      <c r="O591" s="5">
        <v>1668.959037916972</v>
      </c>
      <c r="P591">
        <v>1643.578230952236</v>
      </c>
      <c r="Q591" s="5">
        <v>1779.0683686432751</v>
      </c>
      <c r="R591" s="5">
        <v>1850.0234375</v>
      </c>
      <c r="S591" s="5">
        <v>1179.0008544921875</v>
      </c>
      <c r="T591" s="5">
        <v>1391.8581177178937</v>
      </c>
      <c r="U591" s="5">
        <v>1546.4398851960864</v>
      </c>
      <c r="V591" s="5">
        <v>1312.6465767033733</v>
      </c>
      <c r="W591" s="5">
        <v>1329.3674355412413</v>
      </c>
      <c r="X591" s="5">
        <v>1326.4131713675019</v>
      </c>
      <c r="Y591" s="5">
        <v>1220.6193219129509</v>
      </c>
    </row>
    <row r="592" spans="1:25">
      <c r="A592">
        <v>100</v>
      </c>
      <c r="B592">
        <v>2</v>
      </c>
      <c r="C592">
        <v>236.2</v>
      </c>
      <c r="D592">
        <v>34.85</v>
      </c>
      <c r="E592">
        <v>3</v>
      </c>
      <c r="F592">
        <v>537</v>
      </c>
      <c r="G592" s="35">
        <v>539.37704406306329</v>
      </c>
      <c r="H592" s="5">
        <v>-643.03402071464916</v>
      </c>
      <c r="I592" s="5">
        <v>-643.03359453102257</v>
      </c>
      <c r="J592" s="5">
        <v>-642.95629229363021</v>
      </c>
      <c r="K592" s="5">
        <v>467.45</v>
      </c>
      <c r="L592" s="5">
        <v>567.54648022674178</v>
      </c>
      <c r="M592" s="5">
        <v>538.55823103647515</v>
      </c>
      <c r="N592" s="5">
        <v>514.73315673549348</v>
      </c>
      <c r="O592" s="5">
        <v>495.08867089745979</v>
      </c>
      <c r="P592">
        <v>529.27969298618177</v>
      </c>
      <c r="Q592" s="5">
        <v>591.42030898290329</v>
      </c>
      <c r="R592" s="5">
        <v>518.4969482421875</v>
      </c>
      <c r="S592" s="5">
        <v>719.770263671875</v>
      </c>
      <c r="T592" s="5">
        <v>624.55019597317187</v>
      </c>
      <c r="U592" s="5">
        <v>487.86616671508199</v>
      </c>
      <c r="V592" s="5">
        <v>419.34941848912217</v>
      </c>
      <c r="W592" s="5">
        <v>426.63388855857062</v>
      </c>
      <c r="X592" s="5">
        <v>467.16165850306351</v>
      </c>
      <c r="Y592" s="5">
        <v>382.59695739993282</v>
      </c>
    </row>
    <row r="593" spans="1:25">
      <c r="A593">
        <v>133</v>
      </c>
      <c r="B593">
        <v>5.8</v>
      </c>
      <c r="C593">
        <v>427</v>
      </c>
      <c r="D593">
        <v>84.2</v>
      </c>
      <c r="E593">
        <v>3.6090225563909768</v>
      </c>
      <c r="F593">
        <v>3193</v>
      </c>
      <c r="G593" s="35">
        <v>3149.5</v>
      </c>
      <c r="H593" s="5">
        <v>2966.623097275999</v>
      </c>
      <c r="I593" s="5">
        <v>2966.623124818595</v>
      </c>
      <c r="J593" s="5">
        <v>2966.56713438823</v>
      </c>
      <c r="K593" s="5">
        <v>4480</v>
      </c>
      <c r="L593" s="5">
        <v>3133.944929629487</v>
      </c>
      <c r="M593" s="5">
        <v>3149.5</v>
      </c>
      <c r="N593" s="5">
        <v>3066.8262095158721</v>
      </c>
      <c r="O593" s="5">
        <v>3157.6193977153262</v>
      </c>
      <c r="P593">
        <v>3135.4271830371808</v>
      </c>
      <c r="Q593" s="5">
        <v>2933.4465734981932</v>
      </c>
      <c r="R593" s="5">
        <v>3148.651123046875</v>
      </c>
      <c r="S593" s="5">
        <v>3113.031494140625</v>
      </c>
      <c r="T593" s="5">
        <v>2626.0948131302926</v>
      </c>
      <c r="U593" s="5">
        <v>2577.9034708529448</v>
      </c>
      <c r="V593" s="5">
        <v>2254.5027653766551</v>
      </c>
      <c r="W593" s="5">
        <v>2398.354208439634</v>
      </c>
    </row>
    <row r="594" spans="1:25">
      <c r="A594">
        <v>112.56</v>
      </c>
      <c r="B594">
        <v>2.89</v>
      </c>
      <c r="C594">
        <v>360</v>
      </c>
      <c r="D594">
        <v>24.801811831230211</v>
      </c>
      <c r="E594">
        <v>3.020611229566454</v>
      </c>
      <c r="F594">
        <v>681</v>
      </c>
      <c r="G594" s="35">
        <v>707.59208865048583</v>
      </c>
      <c r="H594" s="5">
        <v>228.46366357794841</v>
      </c>
      <c r="I594" s="5">
        <v>228.46400928669479</v>
      </c>
      <c r="J594" s="5">
        <v>228.51331124193209</v>
      </c>
      <c r="K594" s="5">
        <v>769.4545454545455</v>
      </c>
      <c r="L594" s="5">
        <v>707.12460024053985</v>
      </c>
      <c r="M594" s="5">
        <v>703.98119221358729</v>
      </c>
      <c r="N594" s="5">
        <v>712.64120445138053</v>
      </c>
      <c r="O594" s="5">
        <v>717.99375300454108</v>
      </c>
      <c r="P594">
        <v>704.29181839022476</v>
      </c>
      <c r="Q594" s="5">
        <v>784.87789732085412</v>
      </c>
      <c r="R594" s="5">
        <v>710.3839111328125</v>
      </c>
      <c r="S594" s="5">
        <v>751.03271484375</v>
      </c>
      <c r="T594" s="5">
        <v>868.52269952750589</v>
      </c>
      <c r="U594" s="5">
        <v>802.80400308729463</v>
      </c>
      <c r="V594" s="5">
        <v>713.39766584472102</v>
      </c>
      <c r="W594" s="5">
        <v>704.37777810691296</v>
      </c>
      <c r="Y594" s="5">
        <v>565.60638415220353</v>
      </c>
    </row>
    <row r="595" spans="1:25">
      <c r="A595">
        <v>157.69999999999999</v>
      </c>
      <c r="B595">
        <v>2.14</v>
      </c>
      <c r="C595">
        <v>286</v>
      </c>
      <c r="D595">
        <v>18.7</v>
      </c>
      <c r="E595">
        <v>2.8535193405199748</v>
      </c>
      <c r="F595">
        <v>907.5</v>
      </c>
      <c r="G595" s="35">
        <v>801.0892634545196</v>
      </c>
      <c r="H595" s="5">
        <v>1108.5584892367849</v>
      </c>
      <c r="I595" s="5">
        <v>1108.5586240922951</v>
      </c>
      <c r="J595" s="5">
        <v>1108.6288847932469</v>
      </c>
      <c r="K595" s="5">
        <v>755.24</v>
      </c>
      <c r="L595" s="5">
        <v>974.96804022516744</v>
      </c>
      <c r="M595" s="5">
        <v>988.30574877354468</v>
      </c>
      <c r="N595" s="5">
        <v>933.7164161765171</v>
      </c>
      <c r="O595" s="5">
        <v>989.91708375209555</v>
      </c>
      <c r="P595">
        <v>1036.149621742843</v>
      </c>
      <c r="Q595" s="5">
        <v>987.63127816577628</v>
      </c>
      <c r="R595" s="5">
        <v>900.112060546875</v>
      </c>
      <c r="S595" s="5">
        <v>994.7242431640625</v>
      </c>
      <c r="T595" s="5">
        <v>943.4858558448683</v>
      </c>
      <c r="U595" s="5">
        <v>830.25136456304574</v>
      </c>
      <c r="V595" s="5">
        <v>724.37775664881678</v>
      </c>
      <c r="W595" s="5">
        <v>686.11911570447216</v>
      </c>
    </row>
    <row r="596" spans="1:25">
      <c r="A596">
        <v>108</v>
      </c>
      <c r="B596">
        <v>12</v>
      </c>
      <c r="C596">
        <v>430</v>
      </c>
      <c r="D596">
        <v>78.800000000000011</v>
      </c>
      <c r="E596">
        <v>3</v>
      </c>
      <c r="F596">
        <v>2751</v>
      </c>
      <c r="G596" s="35">
        <v>2214.0083786588489</v>
      </c>
      <c r="H596" s="5">
        <v>3806.507205238026</v>
      </c>
      <c r="I596" s="5">
        <v>3806.5077403860118</v>
      </c>
      <c r="J596" s="5">
        <v>3806.4029228019222</v>
      </c>
      <c r="K596" s="5">
        <v>2334.909090909091</v>
      </c>
      <c r="L596" s="5">
        <v>2465.8690804748981</v>
      </c>
      <c r="M596" s="5">
        <v>2445.1680681073321</v>
      </c>
      <c r="N596" s="5">
        <v>2535.4662916220041</v>
      </c>
      <c r="O596" s="5">
        <v>3086.940797534206</v>
      </c>
      <c r="P596">
        <v>2805.4257218031471</v>
      </c>
      <c r="Q596" s="5">
        <v>2355.153473151091</v>
      </c>
      <c r="R596" s="5">
        <v>2642.980712890625</v>
      </c>
      <c r="S596" s="5">
        <v>3164.38427734375</v>
      </c>
      <c r="T596" s="5">
        <v>2771.4996067830502</v>
      </c>
      <c r="U596" s="5">
        <v>2957.7667576947015</v>
      </c>
      <c r="V596" s="5">
        <v>2635.9819413201294</v>
      </c>
      <c r="W596" s="5">
        <v>2321.9152980567437</v>
      </c>
    </row>
    <row r="597" spans="1:25">
      <c r="A597">
        <v>133</v>
      </c>
      <c r="B597">
        <v>3.5</v>
      </c>
      <c r="C597">
        <v>352</v>
      </c>
      <c r="D597">
        <v>67.760000000000005</v>
      </c>
      <c r="E597">
        <v>3.496240601503759</v>
      </c>
      <c r="F597">
        <v>1962</v>
      </c>
      <c r="G597" s="35">
        <v>1991</v>
      </c>
      <c r="H597" s="5">
        <v>1790.4341553686941</v>
      </c>
      <c r="I597" s="5">
        <v>1790.4342143205829</v>
      </c>
      <c r="J597" s="5">
        <v>1790.427171418138</v>
      </c>
      <c r="K597" s="5">
        <v>2156.3000000000002</v>
      </c>
      <c r="L597" s="5">
        <v>1943.2601535274371</v>
      </c>
      <c r="M597" s="5">
        <v>1991</v>
      </c>
      <c r="N597" s="5">
        <v>2029.7904785520141</v>
      </c>
      <c r="O597" s="5">
        <v>1981.146360716609</v>
      </c>
      <c r="P597">
        <v>1902.8219118667139</v>
      </c>
      <c r="Q597" s="5">
        <v>1898.106653744901</v>
      </c>
      <c r="R597" s="5">
        <v>1993.1806640625</v>
      </c>
      <c r="S597" s="5">
        <v>1775.728515625</v>
      </c>
      <c r="T597" s="5">
        <v>1723.7312177618255</v>
      </c>
      <c r="U597" s="5">
        <v>1656.8782274499674</v>
      </c>
      <c r="V597" s="5">
        <v>1424.9223188195651</v>
      </c>
      <c r="W597" s="5">
        <v>1614.8113194501209</v>
      </c>
      <c r="Y597" s="5">
        <v>1287.7375404375209</v>
      </c>
    </row>
    <row r="598" spans="1:25">
      <c r="A598">
        <v>108</v>
      </c>
      <c r="B598">
        <v>4.5</v>
      </c>
      <c r="C598">
        <v>400</v>
      </c>
      <c r="D598">
        <v>39.35107397329012</v>
      </c>
      <c r="E598">
        <v>6.4814814814814818</v>
      </c>
      <c r="F598">
        <v>1350</v>
      </c>
      <c r="G598" s="35">
        <v>1280.6887041745331</v>
      </c>
      <c r="H598" s="5">
        <v>1172.006581258167</v>
      </c>
      <c r="I598" s="5">
        <v>1172.006534954372</v>
      </c>
      <c r="J598" s="5">
        <v>1171.932001929225</v>
      </c>
      <c r="K598" s="5">
        <v>776.45418598313825</v>
      </c>
      <c r="L598" s="5">
        <v>980.2803829559183</v>
      </c>
      <c r="M598" s="5">
        <v>1028.0699416249849</v>
      </c>
      <c r="N598" s="5">
        <v>1130.734102899735</v>
      </c>
      <c r="O598" s="5">
        <v>1138.850724803425</v>
      </c>
      <c r="P598">
        <v>1045.449930459155</v>
      </c>
      <c r="Q598" s="5">
        <v>1260.0198596152511</v>
      </c>
      <c r="R598" s="5">
        <v>1087.824584960938</v>
      </c>
      <c r="S598" s="5">
        <v>1207.7950439453125</v>
      </c>
      <c r="T598" s="5">
        <v>1089.7961211455438</v>
      </c>
      <c r="U598" s="5">
        <v>1251.0637786886716</v>
      </c>
      <c r="V598" s="5">
        <v>1114.7890761918704</v>
      </c>
      <c r="W598" s="5">
        <v>1114.8403206220382</v>
      </c>
      <c r="X598" s="5">
        <v>919.90338131279532</v>
      </c>
      <c r="Y598" s="5">
        <v>842.98182846654277</v>
      </c>
    </row>
    <row r="599" spans="1:25">
      <c r="A599">
        <v>113.6</v>
      </c>
      <c r="B599">
        <v>3.2</v>
      </c>
      <c r="C599">
        <v>354.6</v>
      </c>
      <c r="D599">
        <v>60.75</v>
      </c>
      <c r="E599">
        <v>2.975352112676056</v>
      </c>
      <c r="F599">
        <v>1145</v>
      </c>
      <c r="G599" s="35">
        <v>1033.8508560252931</v>
      </c>
      <c r="H599" s="5">
        <v>967.66034007541657</v>
      </c>
      <c r="I599" s="5">
        <v>967.66057530158946</v>
      </c>
      <c r="J599" s="5">
        <v>967.66841100897841</v>
      </c>
      <c r="K599" s="5">
        <v>1249.01</v>
      </c>
      <c r="L599" s="5">
        <v>1188.1752054908829</v>
      </c>
      <c r="M599" s="5">
        <v>1095.8250115580211</v>
      </c>
      <c r="N599" s="5">
        <v>1168.296982246897</v>
      </c>
      <c r="O599" s="5">
        <v>1231.3870564086519</v>
      </c>
      <c r="P599">
        <v>1314.5972875306529</v>
      </c>
      <c r="Q599" s="5">
        <v>1125.1043951680199</v>
      </c>
      <c r="R599" s="5">
        <v>1231.525390625</v>
      </c>
      <c r="S599" s="5">
        <v>1240.99560546875</v>
      </c>
      <c r="T599" s="5">
        <v>1268.1624148011151</v>
      </c>
      <c r="U599" s="5">
        <v>1185.8718153103418</v>
      </c>
      <c r="V599" s="5">
        <v>1026.5927449748306</v>
      </c>
      <c r="W599" s="5">
        <v>1158.7113841239034</v>
      </c>
      <c r="Y599" s="5">
        <v>906.74229371187005</v>
      </c>
    </row>
    <row r="600" spans="1:25">
      <c r="A600">
        <v>108</v>
      </c>
      <c r="B600">
        <v>4.5</v>
      </c>
      <c r="C600">
        <v>358</v>
      </c>
      <c r="D600">
        <v>77.400000000000006</v>
      </c>
      <c r="E600">
        <v>3.5</v>
      </c>
      <c r="F600">
        <v>1535</v>
      </c>
      <c r="G600" s="35">
        <v>1548</v>
      </c>
      <c r="H600" s="5">
        <v>1425.7441026214931</v>
      </c>
      <c r="I600" s="5">
        <v>1425.74430559644</v>
      </c>
      <c r="J600" s="5">
        <v>1425.724505145686</v>
      </c>
      <c r="K600" s="5">
        <v>1887.4444444444439</v>
      </c>
      <c r="L600" s="5">
        <v>1564.336965201803</v>
      </c>
      <c r="M600" s="5">
        <v>1548.647524271845</v>
      </c>
      <c r="N600" s="5">
        <v>1596.73287981985</v>
      </c>
      <c r="O600" s="5">
        <v>1571.0865504217441</v>
      </c>
      <c r="P600">
        <v>1582.614922858018</v>
      </c>
      <c r="Q600" s="5">
        <v>1615.5451327200219</v>
      </c>
      <c r="R600" s="5">
        <v>1547.031494140625</v>
      </c>
      <c r="S600" s="5">
        <v>1806.3653564453125</v>
      </c>
      <c r="T600" s="5">
        <v>1535.084110287165</v>
      </c>
      <c r="U600" s="5">
        <v>1444.396608324422</v>
      </c>
      <c r="V600" s="5">
        <v>1257.4918443101728</v>
      </c>
    </row>
    <row r="601" spans="1:25">
      <c r="A601">
        <v>114.37</v>
      </c>
      <c r="B601">
        <v>3.85</v>
      </c>
      <c r="C601">
        <v>343</v>
      </c>
      <c r="D601">
        <v>79.12</v>
      </c>
      <c r="E601">
        <v>2.618693713386377</v>
      </c>
      <c r="F601">
        <v>1182</v>
      </c>
      <c r="G601" s="35">
        <v>1331.757633024238</v>
      </c>
      <c r="H601" s="5">
        <v>1417.2587229799101</v>
      </c>
      <c r="I601" s="5">
        <v>1417.258980713523</v>
      </c>
      <c r="J601" s="5">
        <v>1417.265804195514</v>
      </c>
      <c r="K601" s="5">
        <v>1272.8399999999999</v>
      </c>
      <c r="L601" s="5">
        <v>1390.0349948870589</v>
      </c>
      <c r="M601" s="5">
        <v>1389.656084142395</v>
      </c>
      <c r="N601" s="5">
        <v>1461.67443409148</v>
      </c>
      <c r="O601" s="5">
        <v>1440.596553639286</v>
      </c>
      <c r="P601">
        <v>1427.981847440082</v>
      </c>
      <c r="Q601" s="5">
        <v>1494.86910678616</v>
      </c>
      <c r="R601" s="5">
        <v>1405.726684570312</v>
      </c>
      <c r="S601" s="5">
        <v>1277.1241455078125</v>
      </c>
      <c r="T601" s="5">
        <v>1522.2870109603925</v>
      </c>
      <c r="U601" s="5">
        <v>1449.8479996801975</v>
      </c>
      <c r="V601" s="5">
        <v>1250.0350876654654</v>
      </c>
    </row>
    <row r="602" spans="1:25">
      <c r="A602">
        <v>140.80000000000001</v>
      </c>
      <c r="B602">
        <v>3</v>
      </c>
      <c r="C602">
        <v>285</v>
      </c>
      <c r="D602">
        <v>28.18</v>
      </c>
      <c r="E602">
        <v>4.5099431818181817</v>
      </c>
      <c r="F602">
        <v>881</v>
      </c>
      <c r="G602" s="35">
        <v>1103.9640155066629</v>
      </c>
      <c r="H602" s="5">
        <v>1018.876159102189</v>
      </c>
      <c r="I602" s="5">
        <v>1018.876243628971</v>
      </c>
      <c r="J602" s="5">
        <v>1018.895445618744</v>
      </c>
      <c r="K602" s="5">
        <v>664.47142857142865</v>
      </c>
      <c r="L602" s="5">
        <v>974.49289399642578</v>
      </c>
      <c r="M602" s="5">
        <v>1066.8150342558979</v>
      </c>
      <c r="N602" s="5">
        <v>929.91053722618904</v>
      </c>
      <c r="O602" s="5">
        <v>1028.9302348947169</v>
      </c>
      <c r="P602">
        <v>1088.5333763855131</v>
      </c>
      <c r="Q602" s="5">
        <v>1034.0544897314751</v>
      </c>
      <c r="R602" s="5">
        <v>1077.386596679688</v>
      </c>
      <c r="S602" s="5">
        <v>1160.793212890625</v>
      </c>
      <c r="T602" s="5">
        <v>1034.3797337417716</v>
      </c>
      <c r="U602" s="5">
        <v>1001.7965845266867</v>
      </c>
      <c r="V602" s="5">
        <v>875.27670401972466</v>
      </c>
      <c r="W602" s="5">
        <v>922.50939022191574</v>
      </c>
      <c r="X602" s="5">
        <v>889.26074492497366</v>
      </c>
      <c r="Y602" s="5">
        <v>741.52774093128471</v>
      </c>
    </row>
    <row r="603" spans="1:25">
      <c r="A603">
        <v>474</v>
      </c>
      <c r="B603">
        <v>7.42</v>
      </c>
      <c r="C603">
        <v>317</v>
      </c>
      <c r="D603">
        <v>73.2</v>
      </c>
      <c r="E603">
        <v>2</v>
      </c>
      <c r="F603">
        <v>18306</v>
      </c>
      <c r="G603" s="35">
        <v>18491.54433652063</v>
      </c>
      <c r="H603" s="5">
        <v>13503.27780234527</v>
      </c>
      <c r="I603" s="5">
        <v>13503.27617926976</v>
      </c>
      <c r="J603" s="5">
        <v>13503.21825031078</v>
      </c>
      <c r="K603" s="5">
        <v>24981</v>
      </c>
      <c r="L603" s="5">
        <v>17056.522239010988</v>
      </c>
      <c r="M603" s="5">
        <v>17286.99802589526</v>
      </c>
      <c r="N603" s="5">
        <v>17617.77975205789</v>
      </c>
      <c r="O603" s="5">
        <v>24397.76879370922</v>
      </c>
      <c r="P603">
        <v>17833.519372856739</v>
      </c>
      <c r="Q603" s="5">
        <v>15826.999999999991</v>
      </c>
      <c r="R603" s="5">
        <v>17123.40234375</v>
      </c>
      <c r="S603" s="5">
        <v>18154.2578125</v>
      </c>
      <c r="T603" s="5">
        <v>17424.772207056063</v>
      </c>
      <c r="U603" s="5">
        <v>17706.136430741499</v>
      </c>
      <c r="V603" s="5">
        <v>14857.006278679282</v>
      </c>
    </row>
    <row r="604" spans="1:25">
      <c r="A604">
        <v>216.3</v>
      </c>
      <c r="B604">
        <v>8.1999999999999993</v>
      </c>
      <c r="C604">
        <v>381.1</v>
      </c>
      <c r="D604">
        <v>39.770000000000003</v>
      </c>
      <c r="E604">
        <v>3</v>
      </c>
      <c r="F604">
        <v>3788.4</v>
      </c>
      <c r="G604" s="35">
        <v>3519.3702887968238</v>
      </c>
      <c r="H604" s="5">
        <v>5237.4335919156874</v>
      </c>
      <c r="I604" s="5">
        <v>5237.433494582303</v>
      </c>
      <c r="J604" s="5">
        <v>5237.412069154183</v>
      </c>
      <c r="K604" s="5">
        <v>4400.4076286719483</v>
      </c>
      <c r="L604" s="5">
        <v>4073.621379030621</v>
      </c>
      <c r="M604" s="5">
        <v>4250.7961689603026</v>
      </c>
      <c r="N604" s="5">
        <v>5836.3238420044381</v>
      </c>
      <c r="O604" s="5">
        <v>3758.543570736902</v>
      </c>
      <c r="P604">
        <v>3807.2221249194299</v>
      </c>
      <c r="Q604" s="5">
        <v>4026.36872078023</v>
      </c>
      <c r="R604" s="5">
        <v>3795.868896484375</v>
      </c>
      <c r="S604" s="5">
        <v>4336.79345703125</v>
      </c>
      <c r="T604" s="5">
        <v>4357.938561186179</v>
      </c>
      <c r="U604" s="5">
        <v>4557.8709767980818</v>
      </c>
      <c r="V604" s="5">
        <v>4045.9191720417743</v>
      </c>
      <c r="W604" s="5">
        <v>4024.8940186736982</v>
      </c>
      <c r="X604" s="5">
        <v>4131.7358763789243</v>
      </c>
      <c r="Y604" s="5">
        <v>3205.2320870852432</v>
      </c>
    </row>
    <row r="605" spans="1:25">
      <c r="A605">
        <v>127</v>
      </c>
      <c r="B605">
        <v>2.4</v>
      </c>
      <c r="C605">
        <v>289.60000000000002</v>
      </c>
      <c r="D605">
        <v>22.787517844640998</v>
      </c>
      <c r="E605">
        <v>7.1968503937007871</v>
      </c>
      <c r="F605">
        <v>658.3</v>
      </c>
      <c r="G605" s="35">
        <v>638.82413678998489</v>
      </c>
      <c r="H605" s="5">
        <v>466.68215994512781</v>
      </c>
      <c r="I605" s="5">
        <v>466.68196694335347</v>
      </c>
      <c r="J605" s="5">
        <v>466.6376516881669</v>
      </c>
      <c r="K605" s="5">
        <v>755.24</v>
      </c>
      <c r="L605" s="5">
        <v>687.40703395199296</v>
      </c>
      <c r="M605" s="5">
        <v>680.19514563106804</v>
      </c>
      <c r="N605" s="5">
        <v>583.36427604909068</v>
      </c>
      <c r="O605" s="5">
        <v>549.31357425615715</v>
      </c>
      <c r="P605">
        <v>580.48504004868278</v>
      </c>
      <c r="Q605" s="5">
        <v>736.50536245330829</v>
      </c>
      <c r="R605" s="5">
        <v>561.094482421875</v>
      </c>
      <c r="S605" s="5">
        <v>707.3028564453125</v>
      </c>
      <c r="T605" s="5">
        <v>637.31366203003267</v>
      </c>
      <c r="U605" s="5">
        <v>708.00755287464438</v>
      </c>
      <c r="V605" s="5">
        <v>620.82693647956887</v>
      </c>
      <c r="W605" s="5">
        <v>585.76719903131777</v>
      </c>
      <c r="Y605" s="5">
        <v>507.78944764356982</v>
      </c>
    </row>
    <row r="606" spans="1:25">
      <c r="A606">
        <v>238</v>
      </c>
      <c r="B606">
        <v>4.54</v>
      </c>
      <c r="C606">
        <v>507</v>
      </c>
      <c r="D606">
        <v>77</v>
      </c>
      <c r="E606">
        <v>3</v>
      </c>
      <c r="F606">
        <v>5578</v>
      </c>
      <c r="G606" s="35">
        <v>3795.942090815362</v>
      </c>
      <c r="H606" s="5">
        <v>6119.9356688449561</v>
      </c>
      <c r="I606" s="5">
        <v>6119.9350469685241</v>
      </c>
      <c r="J606" s="5">
        <v>6119.8751904873088</v>
      </c>
      <c r="K606" s="5">
        <v>7403.375</v>
      </c>
      <c r="L606" s="5">
        <v>5844.9401236263748</v>
      </c>
      <c r="M606" s="5">
        <v>5028.2962783171506</v>
      </c>
      <c r="N606" s="5">
        <v>5070.2158529171202</v>
      </c>
      <c r="O606" s="5">
        <v>4977.4024678530786</v>
      </c>
      <c r="P606">
        <v>5496.9921277363374</v>
      </c>
      <c r="Q606" s="5">
        <v>5391.1984811044713</v>
      </c>
      <c r="R606" s="5">
        <v>5869.45947265625</v>
      </c>
      <c r="S606" s="5">
        <v>5770.2900390625</v>
      </c>
      <c r="T606" s="5">
        <v>5638.5389804598581</v>
      </c>
      <c r="U606" s="5">
        <v>5735.2659839220723</v>
      </c>
      <c r="V606" s="5">
        <v>5060.8898995334421</v>
      </c>
      <c r="W606" s="5">
        <v>4846.0343268136485</v>
      </c>
    </row>
    <row r="607" spans="1:25">
      <c r="A607">
        <v>47.28</v>
      </c>
      <c r="B607">
        <v>1.87</v>
      </c>
      <c r="C607">
        <v>360</v>
      </c>
      <c r="D607">
        <v>33.339073367926837</v>
      </c>
      <c r="E607">
        <v>7.1912013536379016</v>
      </c>
      <c r="F607">
        <v>165</v>
      </c>
      <c r="G607" s="35">
        <v>232.56544508592339</v>
      </c>
      <c r="H607" s="5">
        <v>-1676.295114291823</v>
      </c>
      <c r="I607" s="5">
        <v>-1676.2949954889091</v>
      </c>
      <c r="J607" s="5">
        <v>-1676.3471509839139</v>
      </c>
      <c r="K607" s="5">
        <v>194.7692307692308</v>
      </c>
      <c r="L607" s="5">
        <v>232.71442307692311</v>
      </c>
      <c r="M607" s="5">
        <v>241.61650485436891</v>
      </c>
      <c r="N607" s="5">
        <v>199.3369937141388</v>
      </c>
      <c r="O607" s="5">
        <v>224.21831990719249</v>
      </c>
      <c r="P607">
        <v>222.13527478950559</v>
      </c>
      <c r="Q607" s="5">
        <v>220.70024812210511</v>
      </c>
      <c r="R607" s="5">
        <v>225.6004333496094</v>
      </c>
      <c r="S607" s="5">
        <v>251.2808837890625</v>
      </c>
      <c r="T607" s="5">
        <v>148.79588950770395</v>
      </c>
      <c r="U607" s="5">
        <v>205.22109428563783</v>
      </c>
      <c r="V607" s="5">
        <v>182.92349623653408</v>
      </c>
      <c r="W607" s="5">
        <v>182.56557449974105</v>
      </c>
      <c r="X607" s="5">
        <v>148.5876579215886</v>
      </c>
      <c r="Y607" s="5">
        <v>137.7433185058772</v>
      </c>
    </row>
    <row r="608" spans="1:25">
      <c r="A608">
        <v>108</v>
      </c>
      <c r="B608">
        <v>3.5</v>
      </c>
      <c r="C608">
        <v>420.5</v>
      </c>
      <c r="D608">
        <v>78.800000000000011</v>
      </c>
      <c r="E608">
        <v>3</v>
      </c>
      <c r="F608">
        <v>1640</v>
      </c>
      <c r="G608" s="35">
        <v>1596.9168456220259</v>
      </c>
      <c r="H608" s="5">
        <v>1370.891496267011</v>
      </c>
      <c r="I608" s="5">
        <v>1370.891680589486</v>
      </c>
      <c r="J608" s="5">
        <v>1370.870644275539</v>
      </c>
      <c r="K608" s="5">
        <v>1986.818181818182</v>
      </c>
      <c r="L608" s="5">
        <v>1650.2049310580451</v>
      </c>
      <c r="M608" s="5">
        <v>1669.250809061489</v>
      </c>
      <c r="N608" s="5">
        <v>1521.550767302776</v>
      </c>
      <c r="O608" s="5">
        <v>1643.9300706786171</v>
      </c>
      <c r="P608">
        <v>1551.0771901903661</v>
      </c>
      <c r="Q608" s="5">
        <v>1833.6569779577831</v>
      </c>
      <c r="R608" s="5">
        <v>1645.432983398438</v>
      </c>
      <c r="S608" s="5">
        <v>1329.7335205078125</v>
      </c>
      <c r="T608" s="5">
        <v>1467.3582661145952</v>
      </c>
      <c r="U608" s="5">
        <v>1414.0693614527174</v>
      </c>
      <c r="V608" s="5">
        <v>1226.4064639360749</v>
      </c>
      <c r="W608" s="5">
        <v>1376.2711553946792</v>
      </c>
    </row>
    <row r="609" spans="1:25">
      <c r="A609">
        <v>133</v>
      </c>
      <c r="B609">
        <v>3.5</v>
      </c>
      <c r="C609">
        <v>352</v>
      </c>
      <c r="D609">
        <v>106.02</v>
      </c>
      <c r="E609">
        <v>3.496240601503759</v>
      </c>
      <c r="F609">
        <v>1995</v>
      </c>
      <c r="G609" s="35">
        <v>1991</v>
      </c>
      <c r="H609" s="5">
        <v>2376.807914284369</v>
      </c>
      <c r="I609" s="5">
        <v>2376.8078230506871</v>
      </c>
      <c r="J609" s="5">
        <v>2376.767834746292</v>
      </c>
      <c r="K609" s="5">
        <v>2082.636363636364</v>
      </c>
      <c r="L609" s="5">
        <v>2026.0186174381181</v>
      </c>
      <c r="M609" s="5">
        <v>1991</v>
      </c>
      <c r="N609" s="5">
        <v>2041.887570444786</v>
      </c>
      <c r="O609" s="5">
        <v>2016.983270137981</v>
      </c>
      <c r="P609">
        <v>2032.5244057430871</v>
      </c>
      <c r="Q609" s="5">
        <v>1969.7219002040399</v>
      </c>
      <c r="R609" s="5">
        <v>1991.998779296875</v>
      </c>
      <c r="S609" s="5">
        <v>2094.9013671875</v>
      </c>
      <c r="T609" s="5">
        <v>2071.7716078020953</v>
      </c>
      <c r="U609" s="5">
        <v>2043.721443274253</v>
      </c>
      <c r="V609" s="5">
        <v>1806.5728966776974</v>
      </c>
    </row>
    <row r="610" spans="1:25">
      <c r="A610">
        <v>47.28</v>
      </c>
      <c r="B610">
        <v>1.87</v>
      </c>
      <c r="C610">
        <v>360</v>
      </c>
      <c r="D610">
        <v>23.338477713828741</v>
      </c>
      <c r="E610">
        <v>7.1912013536379016</v>
      </c>
      <c r="F610">
        <v>166</v>
      </c>
      <c r="G610" s="35">
        <v>210</v>
      </c>
      <c r="H610" s="5">
        <v>-1853.805822300576</v>
      </c>
      <c r="I610" s="5">
        <v>-1853.8056214643141</v>
      </c>
      <c r="J610" s="5">
        <v>-1853.843133195063</v>
      </c>
      <c r="K610" s="5">
        <v>191.61538461538461</v>
      </c>
      <c r="L610" s="5">
        <v>204.1973557692308</v>
      </c>
      <c r="M610" s="5">
        <v>209.67354368932041</v>
      </c>
      <c r="N610" s="5">
        <v>187.45400221783669</v>
      </c>
      <c r="O610" s="5">
        <v>194.70658578080551</v>
      </c>
      <c r="P610">
        <v>186.24290025895431</v>
      </c>
      <c r="Q610" s="5">
        <v>185.47236990991411</v>
      </c>
      <c r="R610" s="5">
        <v>209.73846435546881</v>
      </c>
      <c r="S610" s="5">
        <v>148.6739501953125</v>
      </c>
      <c r="T610" s="5">
        <v>148.99740427244842</v>
      </c>
      <c r="U610" s="5">
        <v>190.33116624445387</v>
      </c>
      <c r="V610" s="5">
        <v>171.01155380358688</v>
      </c>
      <c r="W610" s="5">
        <v>160.30398760310797</v>
      </c>
      <c r="Y610" s="5">
        <v>124.43700633580561</v>
      </c>
    </row>
    <row r="611" spans="1:25">
      <c r="A611">
        <v>96</v>
      </c>
      <c r="B611">
        <v>5</v>
      </c>
      <c r="C611">
        <v>410.6</v>
      </c>
      <c r="D611">
        <v>28.45</v>
      </c>
      <c r="E611">
        <v>4.6875</v>
      </c>
      <c r="F611">
        <v>1044</v>
      </c>
      <c r="G611" s="35">
        <v>1166</v>
      </c>
      <c r="H611" s="5">
        <v>655.6460589648982</v>
      </c>
      <c r="I611" s="5">
        <v>655.64634301810224</v>
      </c>
      <c r="J611" s="5">
        <v>655.60803690517628</v>
      </c>
      <c r="K611" s="5">
        <v>1072.715969949254</v>
      </c>
      <c r="L611" s="5">
        <v>1146.5829559087611</v>
      </c>
      <c r="M611" s="5">
        <v>1163.6900626848201</v>
      </c>
      <c r="N611" s="5">
        <v>1142.2360476084791</v>
      </c>
      <c r="O611" s="5">
        <v>1133.922240483078</v>
      </c>
      <c r="P611">
        <v>1103.8416615385361</v>
      </c>
      <c r="Q611" s="5">
        <v>1053.8342280410391</v>
      </c>
      <c r="R611" s="5">
        <v>1165.690673828125</v>
      </c>
      <c r="S611" s="5">
        <v>1056.2926025390625</v>
      </c>
      <c r="T611" s="5">
        <v>1078.7446904967217</v>
      </c>
      <c r="U611" s="5">
        <v>1116.0737552300718</v>
      </c>
      <c r="V611" s="5">
        <v>1005.5430260859678</v>
      </c>
      <c r="W611" s="5">
        <v>924.14949057187516</v>
      </c>
      <c r="X611" s="5">
        <v>881.03767878201438</v>
      </c>
      <c r="Y611" s="5">
        <v>730.73995918408502</v>
      </c>
    </row>
    <row r="612" spans="1:25">
      <c r="A612">
        <v>131</v>
      </c>
      <c r="B612">
        <v>4</v>
      </c>
      <c r="C612">
        <v>306</v>
      </c>
      <c r="D612">
        <v>44.24</v>
      </c>
      <c r="E612">
        <v>3</v>
      </c>
      <c r="F612">
        <v>1360</v>
      </c>
      <c r="G612" s="35">
        <v>1403.901121567616</v>
      </c>
      <c r="H612" s="5">
        <v>1276.9127242400509</v>
      </c>
      <c r="I612" s="5">
        <v>1276.9129841429201</v>
      </c>
      <c r="J612" s="5">
        <v>1276.9454740895101</v>
      </c>
      <c r="K612" s="5">
        <v>1450.875</v>
      </c>
      <c r="L612" s="5">
        <v>1383.143248284875</v>
      </c>
      <c r="M612" s="5">
        <v>1394.116215903837</v>
      </c>
      <c r="N612" s="5">
        <v>1312.2225875196721</v>
      </c>
      <c r="O612" s="5">
        <v>1328.6107310066791</v>
      </c>
      <c r="P612">
        <v>1303.6581886780209</v>
      </c>
      <c r="Q612" s="5">
        <v>1423.8984925269669</v>
      </c>
      <c r="R612" s="5">
        <v>1344.701782226562</v>
      </c>
      <c r="S612" s="5">
        <v>1360.7099609375</v>
      </c>
      <c r="T612" s="5">
        <v>1387.9027498550747</v>
      </c>
      <c r="U612" s="5">
        <v>1316.8064147337959</v>
      </c>
      <c r="V612" s="5">
        <v>1149.8332907150341</v>
      </c>
      <c r="W612" s="5">
        <v>1253.7373072019273</v>
      </c>
      <c r="X612" s="5">
        <v>1226.7595995862939</v>
      </c>
      <c r="Y612" s="5">
        <v>980.87344394082982</v>
      </c>
    </row>
    <row r="613" spans="1:25">
      <c r="A613">
        <v>133</v>
      </c>
      <c r="B613">
        <v>4.7</v>
      </c>
      <c r="C613">
        <v>352</v>
      </c>
      <c r="D613">
        <v>59.6</v>
      </c>
      <c r="E613">
        <v>3.496240601503759</v>
      </c>
      <c r="F613">
        <v>1933</v>
      </c>
      <c r="G613" s="35">
        <v>1854</v>
      </c>
      <c r="H613" s="5">
        <v>1987.8652561726151</v>
      </c>
      <c r="I613" s="5">
        <v>1987.865398167713</v>
      </c>
      <c r="J613" s="5">
        <v>1987.85565364186</v>
      </c>
      <c r="K613" s="5">
        <v>2044.1428571428571</v>
      </c>
      <c r="L613" s="5">
        <v>1852.1747181554131</v>
      </c>
      <c r="M613" s="5">
        <v>1854.3037864077669</v>
      </c>
      <c r="N613" s="5">
        <v>1836.904399242874</v>
      </c>
      <c r="O613" s="5">
        <v>1877.7185631302029</v>
      </c>
      <c r="P613">
        <v>1790.939961834976</v>
      </c>
      <c r="Q613" s="5">
        <v>1784.9114758770211</v>
      </c>
      <c r="R613" s="5">
        <v>1877.039916992188</v>
      </c>
      <c r="S613" s="5">
        <v>1915.72021484375</v>
      </c>
      <c r="T613" s="5">
        <v>1841.5862855658645</v>
      </c>
      <c r="U613" s="5">
        <v>1795.3797579193817</v>
      </c>
      <c r="V613" s="5">
        <v>1567.1553243771968</v>
      </c>
      <c r="W613" s="5">
        <v>1705.7130833406507</v>
      </c>
      <c r="Y613" s="5">
        <v>1331.6611110265501</v>
      </c>
    </row>
    <row r="614" spans="1:25">
      <c r="A614">
        <v>127</v>
      </c>
      <c r="B614">
        <v>2.41</v>
      </c>
      <c r="C614">
        <v>294</v>
      </c>
      <c r="D614">
        <v>35.6</v>
      </c>
      <c r="E614">
        <v>7.1968503937007871</v>
      </c>
      <c r="F614">
        <v>623</v>
      </c>
      <c r="G614" s="35">
        <v>658</v>
      </c>
      <c r="H614" s="5">
        <v>780.21578763358775</v>
      </c>
      <c r="I614" s="5">
        <v>780.21554712316902</v>
      </c>
      <c r="J614" s="5">
        <v>780.15742237164795</v>
      </c>
      <c r="K614" s="5">
        <v>664.47142857142865</v>
      </c>
      <c r="L614" s="5">
        <v>767.49791643053163</v>
      </c>
      <c r="M614" s="5">
        <v>658.30825242718447</v>
      </c>
      <c r="N614" s="5">
        <v>766.52171800419615</v>
      </c>
      <c r="O614" s="5">
        <v>687.00417651295743</v>
      </c>
      <c r="P614">
        <v>692.44664508707126</v>
      </c>
      <c r="Q614" s="5">
        <v>767.17580703590818</v>
      </c>
      <c r="R614" s="5">
        <v>659.69268798828125</v>
      </c>
      <c r="S614" s="5">
        <v>1005.5997314453125</v>
      </c>
      <c r="T614" s="5">
        <v>759.18655020284621</v>
      </c>
      <c r="U614" s="5">
        <v>866.66335563550513</v>
      </c>
      <c r="V614" s="5">
        <v>748.79933592591192</v>
      </c>
      <c r="W614" s="5">
        <v>737.23317459230941</v>
      </c>
      <c r="X614" s="5">
        <v>696.82887389245604</v>
      </c>
      <c r="Y614" s="5">
        <v>646.34059570249326</v>
      </c>
    </row>
    <row r="615" spans="1:25">
      <c r="A615">
        <v>273</v>
      </c>
      <c r="B615">
        <v>8</v>
      </c>
      <c r="C615">
        <v>306.94814500000001</v>
      </c>
      <c r="D615">
        <v>9.8488185949999991</v>
      </c>
      <c r="E615">
        <v>4.0293040293040292</v>
      </c>
      <c r="F615">
        <v>3844.2068112264492</v>
      </c>
      <c r="G615" s="35">
        <v>4040.3398117992269</v>
      </c>
      <c r="H615" s="5">
        <v>6369.5812542853218</v>
      </c>
      <c r="I615" s="5">
        <v>6369.5808548178884</v>
      </c>
      <c r="J615" s="5">
        <v>6369.563527401202</v>
      </c>
      <c r="K615" s="5">
        <v>5104.9198869626262</v>
      </c>
      <c r="L615" s="5">
        <v>4519.990211629015</v>
      </c>
      <c r="M615" s="5">
        <v>4040.3398117992319</v>
      </c>
      <c r="N615" s="5">
        <v>4887.2791392288545</v>
      </c>
      <c r="O615" s="5">
        <v>4080.356759754226</v>
      </c>
      <c r="P615">
        <v>4172.2121647328559</v>
      </c>
      <c r="Q615" s="5">
        <v>4635.1038615155276</v>
      </c>
      <c r="R615" s="5">
        <v>4045.8486328125</v>
      </c>
      <c r="S615" s="5">
        <v>5491.30615234375</v>
      </c>
      <c r="T615" s="5">
        <v>4231.3491742357619</v>
      </c>
      <c r="U615" s="5">
        <v>3822.7177880699214</v>
      </c>
      <c r="V615" s="5">
        <v>3462.2601413347343</v>
      </c>
    </row>
    <row r="616" spans="1:25">
      <c r="A616">
        <v>166</v>
      </c>
      <c r="B616">
        <v>5.0999999999999996</v>
      </c>
      <c r="C616">
        <v>373.3</v>
      </c>
      <c r="D616">
        <v>50.05273478025407</v>
      </c>
      <c r="E616">
        <v>2.9698795180722888</v>
      </c>
      <c r="F616">
        <v>2408</v>
      </c>
      <c r="G616" s="35">
        <v>1780.9167785508639</v>
      </c>
      <c r="H616" s="5">
        <v>3018.8823509906661</v>
      </c>
      <c r="I616" s="5">
        <v>3018.8823973368849</v>
      </c>
      <c r="J616" s="5">
        <v>3018.88174219046</v>
      </c>
      <c r="K616" s="5">
        <v>1601.9416666666671</v>
      </c>
      <c r="L616" s="5">
        <v>2374.6795655222381</v>
      </c>
      <c r="M616" s="5">
        <v>2353.354025120932</v>
      </c>
      <c r="N616" s="5">
        <v>2341.6400232270671</v>
      </c>
      <c r="O616" s="5">
        <v>2348.6457033973938</v>
      </c>
      <c r="P616">
        <v>2175.5026731461712</v>
      </c>
      <c r="Q616" s="5">
        <v>2241.5499884309038</v>
      </c>
      <c r="R616" s="5">
        <v>2235.4189453125</v>
      </c>
      <c r="S616" s="5">
        <v>2436.75830078125</v>
      </c>
      <c r="T616" s="5">
        <v>2482.3705054573161</v>
      </c>
      <c r="U616" s="5">
        <v>2513.2396797312517</v>
      </c>
      <c r="V616" s="5">
        <v>2200.491801868845</v>
      </c>
      <c r="W616" s="5">
        <v>2345.7558252690546</v>
      </c>
      <c r="X616" s="5">
        <v>2313.931510786148</v>
      </c>
      <c r="Y616" s="5">
        <v>1854.213565658674</v>
      </c>
    </row>
    <row r="617" spans="1:25">
      <c r="A617">
        <v>323.89999999999998</v>
      </c>
      <c r="B617">
        <v>5.6</v>
      </c>
      <c r="C617">
        <v>443.9</v>
      </c>
      <c r="D617">
        <v>92.3</v>
      </c>
      <c r="E617">
        <v>3.0873726458783581</v>
      </c>
      <c r="F617">
        <v>11481</v>
      </c>
      <c r="G617" s="35">
        <v>4627.721585592366</v>
      </c>
      <c r="H617" s="5">
        <v>9085.3873171463329</v>
      </c>
      <c r="I617" s="5">
        <v>9085.3862101138147</v>
      </c>
      <c r="J617" s="5">
        <v>9085.2888629916069</v>
      </c>
      <c r="K617" s="5">
        <v>3044.0701908190731</v>
      </c>
      <c r="L617" s="5">
        <v>7472.0148502189268</v>
      </c>
      <c r="M617" s="5">
        <v>8124.8181703487116</v>
      </c>
      <c r="N617" s="5">
        <v>11642.14589006156</v>
      </c>
      <c r="O617" s="5">
        <v>12039.228177276569</v>
      </c>
      <c r="P617">
        <v>8227.9134647251067</v>
      </c>
      <c r="Q617" s="5">
        <v>7385.7492557778878</v>
      </c>
      <c r="R617" s="5">
        <v>9503.607421875</v>
      </c>
      <c r="S617" s="5">
        <v>9318.5029296875</v>
      </c>
      <c r="T617" s="5">
        <v>10432.524402646002</v>
      </c>
      <c r="U617" s="5">
        <v>11115.321493178843</v>
      </c>
      <c r="V617" s="5">
        <v>9390.3556883680212</v>
      </c>
    </row>
    <row r="618" spans="1:25">
      <c r="A618">
        <v>112.56</v>
      </c>
      <c r="B618">
        <v>2.89</v>
      </c>
      <c r="C618">
        <v>360</v>
      </c>
      <c r="D618">
        <v>20.404079254954059</v>
      </c>
      <c r="E618">
        <v>3.020611229566454</v>
      </c>
      <c r="F618">
        <v>754</v>
      </c>
      <c r="G618" s="35">
        <v>713.41794376495045</v>
      </c>
      <c r="H618" s="5">
        <v>161.50642125040989</v>
      </c>
      <c r="I618" s="5">
        <v>161.5067801607938</v>
      </c>
      <c r="J618" s="5">
        <v>161.55335268052431</v>
      </c>
      <c r="K618" s="5">
        <v>674</v>
      </c>
      <c r="L618" s="5">
        <v>700.01042508610044</v>
      </c>
      <c r="M618" s="5">
        <v>716.09193490166797</v>
      </c>
      <c r="N618" s="5">
        <v>760.39447096263768</v>
      </c>
      <c r="O618" s="5">
        <v>736.34308755486859</v>
      </c>
      <c r="P618">
        <v>719.73595855769372</v>
      </c>
      <c r="Q618" s="5">
        <v>749.06818012072483</v>
      </c>
      <c r="R618" s="5">
        <v>725.5830078125</v>
      </c>
      <c r="S618" s="5">
        <v>683.846923828125</v>
      </c>
      <c r="T618" s="5">
        <v>828.97928341916577</v>
      </c>
      <c r="U618" s="5">
        <v>763.42193388147132</v>
      </c>
      <c r="V618" s="5">
        <v>681.89201048006225</v>
      </c>
      <c r="W618" s="5">
        <v>649.20416349606705</v>
      </c>
    </row>
    <row r="619" spans="1:25">
      <c r="A619">
        <v>190</v>
      </c>
      <c r="B619">
        <v>1.1100000000000001</v>
      </c>
      <c r="C619">
        <v>203.1</v>
      </c>
      <c r="D619">
        <v>110.3</v>
      </c>
      <c r="E619">
        <v>3.4842105263157901</v>
      </c>
      <c r="F619">
        <v>3030</v>
      </c>
      <c r="G619" s="35">
        <v>2935.7928526683208</v>
      </c>
      <c r="H619" s="5">
        <v>3143.2718863030082</v>
      </c>
      <c r="I619" s="5">
        <v>3143.271416359682</v>
      </c>
      <c r="J619" s="5">
        <v>3143.264702899693</v>
      </c>
      <c r="K619" s="5">
        <v>2830.272727272727</v>
      </c>
      <c r="L619" s="5">
        <v>2942.7960998924191</v>
      </c>
      <c r="M619" s="5">
        <v>3125.0825242718452</v>
      </c>
      <c r="N619" s="5">
        <v>2932.8930707110871</v>
      </c>
      <c r="O619" s="5">
        <v>2943.2223004845091</v>
      </c>
      <c r="P619">
        <v>2849.8095236697718</v>
      </c>
      <c r="Q619" s="5">
        <v>2772.2392381825962</v>
      </c>
      <c r="R619" s="5">
        <v>2819.0205078125</v>
      </c>
      <c r="S619" s="5">
        <v>3038.0732421875</v>
      </c>
      <c r="T619" s="5">
        <v>3001.7977257078078</v>
      </c>
      <c r="U619" s="5">
        <v>3247.3117807556073</v>
      </c>
      <c r="V619" s="5">
        <v>2644.2462066055159</v>
      </c>
    </row>
    <row r="620" spans="1:25">
      <c r="A620">
        <v>114.3</v>
      </c>
      <c r="B620">
        <v>3.35</v>
      </c>
      <c r="C620">
        <v>287.33</v>
      </c>
      <c r="D620">
        <v>88.78</v>
      </c>
      <c r="E620">
        <v>6.99912510936133</v>
      </c>
      <c r="F620">
        <v>1198.3</v>
      </c>
      <c r="G620" s="35">
        <v>1258.855848081799</v>
      </c>
      <c r="H620" s="5">
        <v>1548.863339395084</v>
      </c>
      <c r="I620" s="5">
        <v>1548.8630286207681</v>
      </c>
      <c r="J620" s="5">
        <v>1548.763140479097</v>
      </c>
      <c r="K620" s="5">
        <v>1338.074444444444</v>
      </c>
      <c r="L620" s="5">
        <v>1242.0563806852781</v>
      </c>
      <c r="M620" s="5">
        <v>1291.658644822006</v>
      </c>
      <c r="N620" s="5">
        <v>1181.9375947830461</v>
      </c>
      <c r="O620" s="5">
        <v>1173.6753081886779</v>
      </c>
      <c r="P620">
        <v>1254.8519605735021</v>
      </c>
      <c r="Q620" s="5">
        <v>1243.8703080409671</v>
      </c>
      <c r="R620" s="5">
        <v>1313.785400390625</v>
      </c>
      <c r="S620" s="5">
        <v>985.1009521484375</v>
      </c>
      <c r="T620" s="5">
        <v>1145.9370139700122</v>
      </c>
      <c r="U620" s="5">
        <v>1350.8130437589778</v>
      </c>
      <c r="V620" s="5">
        <v>1146.9672182929712</v>
      </c>
    </row>
    <row r="621" spans="1:25">
      <c r="A621">
        <v>168.3</v>
      </c>
      <c r="B621">
        <v>2.8</v>
      </c>
      <c r="C621">
        <v>317.8</v>
      </c>
      <c r="D621">
        <v>37.71</v>
      </c>
      <c r="E621">
        <v>1.7825311942958999</v>
      </c>
      <c r="F621">
        <v>1282.5</v>
      </c>
      <c r="G621" s="35">
        <v>1283.0045539281759</v>
      </c>
      <c r="H621" s="5">
        <v>1946.7991444759309</v>
      </c>
      <c r="I621" s="5">
        <v>1946.799281646176</v>
      </c>
      <c r="J621" s="5">
        <v>1946.869375629911</v>
      </c>
      <c r="K621" s="5">
        <v>1466.2898579289561</v>
      </c>
      <c r="L621" s="5">
        <v>1446.5777281022999</v>
      </c>
      <c r="M621" s="5">
        <v>1424.3683591000299</v>
      </c>
      <c r="N621" s="5">
        <v>1503.179298438155</v>
      </c>
      <c r="O621" s="5">
        <v>1494.5148513332849</v>
      </c>
      <c r="P621">
        <v>1413.5992114303151</v>
      </c>
      <c r="Q621" s="5">
        <v>1483.202596416417</v>
      </c>
      <c r="R621" s="5">
        <v>1413.371948242188</v>
      </c>
      <c r="S621" s="5">
        <v>1293.964111328125</v>
      </c>
      <c r="T621" s="5">
        <v>1487.679627625422</v>
      </c>
      <c r="U621" s="5">
        <v>1533.5153259837932</v>
      </c>
      <c r="V621" s="5">
        <v>1319.5858606388711</v>
      </c>
      <c r="W621" s="5">
        <v>1288.1620657406656</v>
      </c>
      <c r="X621" s="5">
        <v>1533.2094132795751</v>
      </c>
      <c r="Y621" s="5">
        <v>1204.0762581384729</v>
      </c>
    </row>
    <row r="622" spans="1:25">
      <c r="A622">
        <v>250</v>
      </c>
      <c r="B622">
        <v>2</v>
      </c>
      <c r="C622">
        <v>404</v>
      </c>
      <c r="D622">
        <v>72</v>
      </c>
      <c r="E622">
        <v>3</v>
      </c>
      <c r="F622">
        <v>4800</v>
      </c>
      <c r="G622" s="35">
        <v>4720</v>
      </c>
      <c r="H622" s="5">
        <v>5318.875774621386</v>
      </c>
      <c r="I622" s="5">
        <v>5318.8750560002263</v>
      </c>
      <c r="J622" s="5">
        <v>5318.856838111059</v>
      </c>
      <c r="K622" s="5">
        <v>5279.375</v>
      </c>
      <c r="L622" s="5">
        <v>4675.2361988705752</v>
      </c>
      <c r="M622" s="5">
        <v>4720</v>
      </c>
      <c r="N622" s="5">
        <v>4624.0105296239562</v>
      </c>
      <c r="O622" s="5">
        <v>4609.4081931381243</v>
      </c>
      <c r="P622">
        <v>4836.8120686243892</v>
      </c>
      <c r="Q622" s="5">
        <v>4720.0000000000036</v>
      </c>
      <c r="R622" s="5">
        <v>4708.06494140625</v>
      </c>
      <c r="S622" s="5">
        <v>4740.98388671875</v>
      </c>
      <c r="T622" s="5">
        <v>4201.5623395729226</v>
      </c>
      <c r="U622" s="5">
        <v>4441.9295201645564</v>
      </c>
      <c r="V622" s="5">
        <v>3680.9381285077484</v>
      </c>
      <c r="W622" s="5">
        <v>3717.4317017019744</v>
      </c>
    </row>
    <row r="623" spans="1:25">
      <c r="A623">
        <v>111</v>
      </c>
      <c r="B623">
        <v>2</v>
      </c>
      <c r="C623">
        <v>353.6</v>
      </c>
      <c r="D623">
        <v>45.266353809912339</v>
      </c>
      <c r="E623">
        <v>3.0540540540540539</v>
      </c>
      <c r="F623">
        <v>894</v>
      </c>
      <c r="G623" s="35">
        <v>934.08293091873406</v>
      </c>
      <c r="H623" s="5">
        <v>250.37511061242</v>
      </c>
      <c r="I623" s="5">
        <v>250.3753436321945</v>
      </c>
      <c r="J623" s="5">
        <v>250.4110895971512</v>
      </c>
      <c r="K623" s="5">
        <v>917.91615384615386</v>
      </c>
      <c r="L623" s="5">
        <v>856.60344250058404</v>
      </c>
      <c r="M623" s="5">
        <v>869.69011767056054</v>
      </c>
      <c r="N623" s="5">
        <v>854.59775661595677</v>
      </c>
      <c r="O623" s="5">
        <v>816.95844210960502</v>
      </c>
      <c r="P623">
        <v>782.07292846939094</v>
      </c>
      <c r="Q623" s="5">
        <v>1015.664457173992</v>
      </c>
      <c r="R623" s="5">
        <v>872.79180908203125</v>
      </c>
      <c r="S623" s="5">
        <v>748.15185546875</v>
      </c>
      <c r="T623" s="5">
        <v>918.42455037088109</v>
      </c>
      <c r="U623" s="5">
        <v>799.34996755177292</v>
      </c>
      <c r="V623" s="5">
        <v>687.96720300919242</v>
      </c>
      <c r="W623" s="5">
        <v>692.53788647519139</v>
      </c>
      <c r="X623" s="5">
        <v>750.90540251017319</v>
      </c>
      <c r="Y623" s="5">
        <v>623.18128428084754</v>
      </c>
    </row>
    <row r="624" spans="1:25">
      <c r="A624">
        <v>219</v>
      </c>
      <c r="B624">
        <v>4.74</v>
      </c>
      <c r="C624">
        <v>350</v>
      </c>
      <c r="D624">
        <v>41.9</v>
      </c>
      <c r="E624">
        <v>2.968036529680365</v>
      </c>
      <c r="F624">
        <v>3160</v>
      </c>
      <c r="G624" s="35">
        <v>2680</v>
      </c>
      <c r="H624" s="5">
        <v>4406.8226179276853</v>
      </c>
      <c r="I624" s="5">
        <v>4406.8223818862843</v>
      </c>
      <c r="J624" s="5">
        <v>4406.8304533245</v>
      </c>
      <c r="K624" s="5">
        <v>3066.454545454545</v>
      </c>
      <c r="L624" s="5">
        <v>2818.4990865384611</v>
      </c>
      <c r="M624" s="5">
        <v>2681.6019417475732</v>
      </c>
      <c r="N624" s="5">
        <v>3134.404391299583</v>
      </c>
      <c r="O624" s="5">
        <v>2983.9027723242689</v>
      </c>
      <c r="P624">
        <v>3031.8193908074659</v>
      </c>
      <c r="Q624" s="5">
        <v>3079.2958327851611</v>
      </c>
      <c r="R624" s="5">
        <v>2703.392333984375</v>
      </c>
      <c r="S624" s="5">
        <v>3196.157470703125</v>
      </c>
      <c r="T624" s="5">
        <v>3147.1541247185887</v>
      </c>
      <c r="U624" s="5">
        <v>3253.6816768612816</v>
      </c>
      <c r="V624" s="5">
        <v>2825.6329917067687</v>
      </c>
      <c r="W624" s="5">
        <v>2986.9319329696373</v>
      </c>
      <c r="X624" s="5">
        <v>3050.1132212548682</v>
      </c>
      <c r="Y624" s="5">
        <v>2469.6616206614399</v>
      </c>
    </row>
    <row r="625" spans="1:25">
      <c r="A625">
        <v>149</v>
      </c>
      <c r="B625">
        <v>3</v>
      </c>
      <c r="C625">
        <v>438</v>
      </c>
      <c r="D625">
        <v>46.831412032875782</v>
      </c>
      <c r="E625">
        <v>3.3557046979865768</v>
      </c>
      <c r="F625">
        <v>2394.1999999999998</v>
      </c>
      <c r="G625" s="35">
        <v>2361</v>
      </c>
      <c r="H625" s="5">
        <v>2073.9703904794778</v>
      </c>
      <c r="I625" s="5">
        <v>2073.9703622860488</v>
      </c>
      <c r="J625" s="5">
        <v>2073.9684070138742</v>
      </c>
      <c r="K625" s="5">
        <v>2156.3000000000002</v>
      </c>
      <c r="L625" s="5">
        <v>2189.8443429519562</v>
      </c>
      <c r="M625" s="5">
        <v>2360.8656957928811</v>
      </c>
      <c r="N625" s="5">
        <v>2133.9989724153102</v>
      </c>
      <c r="O625" s="5">
        <v>2261.5833430983221</v>
      </c>
      <c r="P625">
        <v>2225.5917046720838</v>
      </c>
      <c r="Q625" s="5">
        <v>2057.1110794496012</v>
      </c>
      <c r="R625" s="5">
        <v>2361.098876953125</v>
      </c>
      <c r="S625" s="5">
        <v>2318.81982421875</v>
      </c>
      <c r="T625" s="5">
        <v>1767.0675902938863</v>
      </c>
      <c r="U625" s="5">
        <v>1728.5079416207186</v>
      </c>
      <c r="V625" s="5">
        <v>1503.1963640003523</v>
      </c>
      <c r="W625" s="5">
        <v>1435.5284423697428</v>
      </c>
      <c r="X625" s="5">
        <v>1571.9881792058959</v>
      </c>
      <c r="Y625" s="5">
        <v>1301.822720744349</v>
      </c>
    </row>
    <row r="626" spans="1:25">
      <c r="A626">
        <v>166</v>
      </c>
      <c r="B626">
        <v>5</v>
      </c>
      <c r="C626">
        <v>274.60000000000002</v>
      </c>
      <c r="D626">
        <v>18.720078217418219</v>
      </c>
      <c r="E626">
        <v>3.975903614457831</v>
      </c>
      <c r="F626">
        <v>1888</v>
      </c>
      <c r="G626" s="35">
        <v>1795.666666666667</v>
      </c>
      <c r="H626" s="5">
        <v>2247.2038182450942</v>
      </c>
      <c r="I626" s="5">
        <v>2247.2038884141461</v>
      </c>
      <c r="J626" s="5">
        <v>2247.223205352841</v>
      </c>
      <c r="K626" s="5">
        <v>1842.0872430809429</v>
      </c>
      <c r="L626" s="5">
        <v>1868.3197940612199</v>
      </c>
      <c r="M626" s="5">
        <v>1869.0037052730529</v>
      </c>
      <c r="N626" s="5">
        <v>1873.3571532466981</v>
      </c>
      <c r="O626" s="5">
        <v>1874.2675139496471</v>
      </c>
      <c r="P626">
        <v>1859.991261508208</v>
      </c>
      <c r="Q626" s="5">
        <v>1792.100632767748</v>
      </c>
      <c r="R626" s="5">
        <v>1863.107788085938</v>
      </c>
      <c r="S626" s="5">
        <v>1848.85888671875</v>
      </c>
      <c r="T626" s="5">
        <v>1679.9889098782562</v>
      </c>
      <c r="U626" s="5">
        <v>1482.8280124552666</v>
      </c>
      <c r="V626" s="5">
        <v>1323.3975976374068</v>
      </c>
      <c r="W626" s="5">
        <v>1267.3536181476302</v>
      </c>
    </row>
    <row r="627" spans="1:25">
      <c r="A627">
        <v>114.88</v>
      </c>
      <c r="B627">
        <v>4.91</v>
      </c>
      <c r="C627">
        <v>365</v>
      </c>
      <c r="D627">
        <v>27.760000000000009</v>
      </c>
      <c r="E627">
        <v>2.6157729805013932</v>
      </c>
      <c r="F627">
        <v>1380</v>
      </c>
      <c r="G627" s="35">
        <v>1116.865999428451</v>
      </c>
      <c r="H627" s="5">
        <v>954.93602927588449</v>
      </c>
      <c r="I627" s="5">
        <v>954.93648650201476</v>
      </c>
      <c r="J627" s="5">
        <v>954.97649300389958</v>
      </c>
      <c r="K627" s="5">
        <v>1165.756437714286</v>
      </c>
      <c r="L627" s="5">
        <v>1185.0402953886271</v>
      </c>
      <c r="M627" s="5">
        <v>1173.804068731366</v>
      </c>
      <c r="N627" s="5">
        <v>1326.7137773824811</v>
      </c>
      <c r="O627" s="5">
        <v>1255.301418916878</v>
      </c>
      <c r="P627">
        <v>1242.617710864288</v>
      </c>
      <c r="Q627" s="5">
        <v>1340.2626512701811</v>
      </c>
      <c r="R627" s="5">
        <v>1441.64013671875</v>
      </c>
      <c r="S627" s="5">
        <v>1017.7879638671875</v>
      </c>
      <c r="T627" s="5">
        <v>1292.1310563793279</v>
      </c>
      <c r="U627" s="5">
        <v>1243.6779932918059</v>
      </c>
      <c r="V627" s="5">
        <v>1115.3082826744624</v>
      </c>
      <c r="W627" s="5">
        <v>1062.1185896725326</v>
      </c>
      <c r="Y627" s="5">
        <v>843.5280355805063</v>
      </c>
    </row>
    <row r="628" spans="1:25">
      <c r="A628">
        <v>47.28</v>
      </c>
      <c r="B628">
        <v>1.87</v>
      </c>
      <c r="C628">
        <v>360</v>
      </c>
      <c r="D628">
        <v>35.061137668994363</v>
      </c>
      <c r="E628">
        <v>7.1912013536379016</v>
      </c>
      <c r="F628">
        <v>225</v>
      </c>
      <c r="G628" s="35">
        <v>214.27114912154619</v>
      </c>
      <c r="H628" s="5">
        <v>-1673.571565655021</v>
      </c>
      <c r="I628" s="5">
        <v>-1673.5714135222979</v>
      </c>
      <c r="J628" s="5">
        <v>-1673.6193235428079</v>
      </c>
      <c r="K628" s="5">
        <v>169.12285714285721</v>
      </c>
      <c r="L628" s="5">
        <v>186.12047500000011</v>
      </c>
      <c r="M628" s="5">
        <v>165.47980582524269</v>
      </c>
      <c r="N628" s="5">
        <v>187.76467703278769</v>
      </c>
      <c r="O628" s="5">
        <v>179.531182188282</v>
      </c>
      <c r="P628">
        <v>193.51750867719409</v>
      </c>
      <c r="Q628" s="5">
        <v>183.9142950306568</v>
      </c>
      <c r="R628" s="5">
        <v>184.3227233886719</v>
      </c>
      <c r="S628" s="5">
        <v>290.71435546875</v>
      </c>
      <c r="T628" s="5">
        <v>145.40258381901239</v>
      </c>
      <c r="U628" s="5">
        <v>207.78508291312323</v>
      </c>
      <c r="V628" s="5">
        <v>184.97468713852237</v>
      </c>
      <c r="W628" s="5">
        <v>186.21021071316397</v>
      </c>
      <c r="X628" s="5">
        <v>150.78399757773039</v>
      </c>
      <c r="Y628" s="5">
        <v>140.02728023705379</v>
      </c>
    </row>
    <row r="629" spans="1:25">
      <c r="A629">
        <v>89.32</v>
      </c>
      <c r="B629">
        <v>2.74</v>
      </c>
      <c r="C629">
        <v>360</v>
      </c>
      <c r="D629">
        <v>29.66351867545038</v>
      </c>
      <c r="E629">
        <v>3.8065382892969102</v>
      </c>
      <c r="F629">
        <v>605</v>
      </c>
      <c r="G629" s="35">
        <v>594.27000036320692</v>
      </c>
      <c r="H629" s="5">
        <v>-405.40915546047057</v>
      </c>
      <c r="I629" s="5">
        <v>-405.40879874623403</v>
      </c>
      <c r="J629" s="5">
        <v>-405.38533714250929</v>
      </c>
      <c r="K629" s="5">
        <v>547.14285714285711</v>
      </c>
      <c r="L629" s="5">
        <v>593.85005310148915</v>
      </c>
      <c r="M629" s="5">
        <v>577.40013869625523</v>
      </c>
      <c r="N629" s="5">
        <v>592.92305215320948</v>
      </c>
      <c r="O629" s="5">
        <v>602.06231941074327</v>
      </c>
      <c r="P629">
        <v>607.05036879059833</v>
      </c>
      <c r="Q629" s="5">
        <v>614.69147926493326</v>
      </c>
      <c r="R629" s="5">
        <v>591.87506103515625</v>
      </c>
      <c r="S629" s="5">
        <v>600.62548828125</v>
      </c>
      <c r="T629" s="5">
        <v>655.87492272337886</v>
      </c>
      <c r="U629" s="5">
        <v>598.40858123562384</v>
      </c>
      <c r="V629" s="5">
        <v>531.6731774532384</v>
      </c>
      <c r="W629" s="5">
        <v>535.94501313964872</v>
      </c>
      <c r="X629" s="5">
        <v>526.58171640722924</v>
      </c>
      <c r="Y629" s="5">
        <v>419.26147567704737</v>
      </c>
    </row>
    <row r="630" spans="1:25">
      <c r="A630">
        <v>88.9</v>
      </c>
      <c r="B630">
        <v>5.8419999999999996</v>
      </c>
      <c r="C630">
        <v>406</v>
      </c>
      <c r="D630">
        <v>41.5</v>
      </c>
      <c r="E630">
        <v>5.7142857142857144</v>
      </c>
      <c r="F630">
        <v>991.9</v>
      </c>
      <c r="G630" s="35">
        <v>889.6</v>
      </c>
      <c r="H630" s="5">
        <v>899.47924131204877</v>
      </c>
      <c r="I630" s="5">
        <v>899.47944687127028</v>
      </c>
      <c r="J630" s="5">
        <v>899.41837953394065</v>
      </c>
      <c r="K630" s="5">
        <v>656.58984669245831</v>
      </c>
      <c r="L630" s="5">
        <v>1054.1284622952969</v>
      </c>
      <c r="M630" s="5">
        <v>889.60000000000343</v>
      </c>
      <c r="N630" s="5">
        <v>994.27501605121779</v>
      </c>
      <c r="O630" s="5">
        <v>906.90392742101096</v>
      </c>
      <c r="P630">
        <v>953.5088058819282</v>
      </c>
      <c r="Q630" s="5">
        <v>964.6901001884213</v>
      </c>
      <c r="R630" s="5">
        <v>890.187255859375</v>
      </c>
      <c r="S630" s="5">
        <v>1044.74072265625</v>
      </c>
      <c r="T630" s="5">
        <v>995.97514090380832</v>
      </c>
      <c r="U630" s="5">
        <v>1196.9501065698339</v>
      </c>
      <c r="V630" s="5">
        <v>1074.0593842305343</v>
      </c>
      <c r="W630" s="5">
        <v>1013.2591176788071</v>
      </c>
      <c r="X630" s="5">
        <v>874.89595107567186</v>
      </c>
      <c r="Y630" s="5">
        <v>781.1685871943464</v>
      </c>
    </row>
    <row r="631" spans="1:25">
      <c r="A631">
        <v>108</v>
      </c>
      <c r="B631">
        <v>4.5</v>
      </c>
      <c r="C631">
        <v>409.64</v>
      </c>
      <c r="D631">
        <v>28.6</v>
      </c>
      <c r="E631">
        <v>4.4907407407407396</v>
      </c>
      <c r="F631">
        <v>1205.4000000000001</v>
      </c>
      <c r="G631" s="35">
        <v>1041.293952291011</v>
      </c>
      <c r="H631" s="5">
        <v>889.27520546895107</v>
      </c>
      <c r="I631" s="5">
        <v>889.27543676660707</v>
      </c>
      <c r="J631" s="5">
        <v>889.26740209337163</v>
      </c>
      <c r="K631" s="5">
        <v>1070.314225922582</v>
      </c>
      <c r="L631" s="5">
        <v>1180.1147377089681</v>
      </c>
      <c r="M631" s="5">
        <v>999.42160363636037</v>
      </c>
      <c r="N631" s="5">
        <v>1102.6294869380099</v>
      </c>
      <c r="O631" s="5">
        <v>1131.4769010029361</v>
      </c>
      <c r="P631">
        <v>1126.4868438486781</v>
      </c>
      <c r="Q631" s="5">
        <v>1282.710631076259</v>
      </c>
      <c r="R631" s="5">
        <v>1064.051513671875</v>
      </c>
      <c r="S631" s="5">
        <v>1130.852294921875</v>
      </c>
      <c r="T631" s="5">
        <v>1177.4566343483759</v>
      </c>
      <c r="U631" s="5">
        <v>1191.1558234828958</v>
      </c>
      <c r="V631" s="5">
        <v>1069.6086191103561</v>
      </c>
      <c r="W631" s="5">
        <v>1008.4729192276545</v>
      </c>
      <c r="X631" s="5">
        <v>971.53779241161089</v>
      </c>
      <c r="Y631" s="5">
        <v>795.57346336203796</v>
      </c>
    </row>
    <row r="632" spans="1:25">
      <c r="A632">
        <v>140</v>
      </c>
      <c r="B632">
        <v>4.5</v>
      </c>
      <c r="C632">
        <v>462.9</v>
      </c>
      <c r="D632">
        <v>27.16</v>
      </c>
      <c r="E632">
        <v>3</v>
      </c>
      <c r="F632">
        <v>1662.3</v>
      </c>
      <c r="G632" s="35">
        <v>1646.7</v>
      </c>
      <c r="H632" s="5">
        <v>2004.892267383814</v>
      </c>
      <c r="I632" s="5">
        <v>2004.892436522618</v>
      </c>
      <c r="J632" s="5">
        <v>2004.8999974067549</v>
      </c>
      <c r="K632" s="5">
        <v>1483.4444444444439</v>
      </c>
      <c r="L632" s="5">
        <v>1564.6410630275459</v>
      </c>
      <c r="M632" s="5">
        <v>1646.700000000006</v>
      </c>
      <c r="N632" s="5">
        <v>1666.541145105215</v>
      </c>
      <c r="O632" s="5">
        <v>1603.8805358620821</v>
      </c>
      <c r="P632">
        <v>1632.2791983826751</v>
      </c>
      <c r="Q632" s="5">
        <v>1443.145475250192</v>
      </c>
      <c r="R632" s="5">
        <v>1639.081298828125</v>
      </c>
      <c r="S632" s="5">
        <v>1810.181640625</v>
      </c>
      <c r="T632" s="5">
        <v>1734.8208977786567</v>
      </c>
      <c r="U632" s="5">
        <v>1802.5625982873362</v>
      </c>
      <c r="V632" s="5">
        <v>1616.7289726721763</v>
      </c>
      <c r="W632" s="5">
        <v>1507.6515273580726</v>
      </c>
      <c r="Y632" s="5">
        <v>1224.798757998994</v>
      </c>
    </row>
    <row r="633" spans="1:25">
      <c r="A633">
        <v>300</v>
      </c>
      <c r="B633">
        <v>3</v>
      </c>
      <c r="C633">
        <v>274.39999999999998</v>
      </c>
      <c r="D633">
        <v>28.72</v>
      </c>
      <c r="E633">
        <v>3.333333333333333</v>
      </c>
      <c r="F633">
        <v>3420</v>
      </c>
      <c r="G633" s="35">
        <v>2837.2998235910331</v>
      </c>
      <c r="H633" s="5">
        <v>6060.9575762625573</v>
      </c>
      <c r="I633" s="5">
        <v>6060.9568284530797</v>
      </c>
      <c r="J633" s="5">
        <v>6060.9809647801712</v>
      </c>
      <c r="K633" s="5">
        <v>3160.3701908190728</v>
      </c>
      <c r="L633" s="5">
        <v>3017.3934860187019</v>
      </c>
      <c r="M633" s="5">
        <v>2745.827669902912</v>
      </c>
      <c r="N633" s="5">
        <v>3488.8987077997631</v>
      </c>
      <c r="O633" s="5">
        <v>3323.6963474299182</v>
      </c>
      <c r="P633">
        <v>3115.3907018628338</v>
      </c>
      <c r="Q633" s="5">
        <v>2869.8798590629899</v>
      </c>
      <c r="R633" s="5">
        <v>3200.9541015625</v>
      </c>
      <c r="S633" s="5">
        <v>2473.12158203125</v>
      </c>
      <c r="T633" s="5">
        <v>2873.1333986937411</v>
      </c>
      <c r="U633" s="5">
        <v>3194.0099008202678</v>
      </c>
      <c r="V633" s="5">
        <v>2710.3211047772634</v>
      </c>
      <c r="W633" s="5">
        <v>2585.2015529248247</v>
      </c>
      <c r="Y633" s="5">
        <v>2594.9529393927241</v>
      </c>
    </row>
    <row r="634" spans="1:25">
      <c r="A634">
        <v>372</v>
      </c>
      <c r="B634">
        <v>3.64</v>
      </c>
      <c r="C634">
        <v>320</v>
      </c>
      <c r="D634">
        <v>73.2</v>
      </c>
      <c r="E634">
        <v>2</v>
      </c>
      <c r="F634">
        <v>9163</v>
      </c>
      <c r="G634" s="35">
        <v>9800</v>
      </c>
      <c r="H634" s="5">
        <v>9376.1753437717998</v>
      </c>
      <c r="I634" s="5">
        <v>9376.1741612119986</v>
      </c>
      <c r="J634" s="5">
        <v>9376.1700464040587</v>
      </c>
      <c r="K634" s="5">
        <v>10726.857142857139</v>
      </c>
      <c r="L634" s="5">
        <v>9428.9978846153863</v>
      </c>
      <c r="M634" s="5">
        <v>9800</v>
      </c>
      <c r="N634" s="5">
        <v>10175.976390233889</v>
      </c>
      <c r="O634" s="5">
        <v>10029.50085417855</v>
      </c>
      <c r="P634">
        <v>9799.8000092580842</v>
      </c>
      <c r="Q634" s="5">
        <v>9662.3242197612162</v>
      </c>
      <c r="R634" s="5">
        <v>9801.4501953125</v>
      </c>
      <c r="S634" s="5">
        <v>10010.5615234375</v>
      </c>
      <c r="T634" s="5">
        <v>9793.2948789714046</v>
      </c>
      <c r="U634" s="5">
        <v>9831.1897616435181</v>
      </c>
      <c r="V634" s="5">
        <v>8137.2270384852072</v>
      </c>
    </row>
    <row r="635" spans="1:25">
      <c r="A635">
        <v>125</v>
      </c>
      <c r="B635">
        <v>1</v>
      </c>
      <c r="C635">
        <v>232</v>
      </c>
      <c r="D635">
        <v>106.02</v>
      </c>
      <c r="E635">
        <v>3.504</v>
      </c>
      <c r="F635">
        <v>1275</v>
      </c>
      <c r="G635" s="35">
        <v>2344.0068669750949</v>
      </c>
      <c r="H635" s="5">
        <v>846.92603809491311</v>
      </c>
      <c r="I635" s="5">
        <v>846.92598549137347</v>
      </c>
      <c r="J635" s="5">
        <v>846.93148818989175</v>
      </c>
      <c r="K635" s="5">
        <v>1246.384615384615</v>
      </c>
      <c r="L635" s="5">
        <v>1449.873992216121</v>
      </c>
      <c r="M635" s="5">
        <v>1384.949538834951</v>
      </c>
      <c r="N635" s="5">
        <v>1434.4324209380311</v>
      </c>
      <c r="O635" s="5">
        <v>1409.332738912407</v>
      </c>
      <c r="P635">
        <v>1353.6724251358021</v>
      </c>
      <c r="Q635" s="5">
        <v>1338.749899754135</v>
      </c>
      <c r="R635" s="5">
        <v>1438.93359375</v>
      </c>
      <c r="S635" s="5">
        <v>1575.7403564453125</v>
      </c>
      <c r="T635" s="5">
        <v>1417.9467006280388</v>
      </c>
      <c r="U635" s="5">
        <v>1389.9036260047187</v>
      </c>
      <c r="V635" s="5">
        <v>1143.2265485805026</v>
      </c>
    </row>
    <row r="636" spans="1:25">
      <c r="A636">
        <v>100</v>
      </c>
      <c r="B636">
        <v>1.87</v>
      </c>
      <c r="C636">
        <v>282</v>
      </c>
      <c r="D636">
        <v>68.160000000000011</v>
      </c>
      <c r="E636">
        <v>3</v>
      </c>
      <c r="F636">
        <v>822</v>
      </c>
      <c r="G636" s="35">
        <v>712.77246417716333</v>
      </c>
      <c r="H636" s="5">
        <v>60.27021601860406</v>
      </c>
      <c r="I636" s="5">
        <v>60.270492690022373</v>
      </c>
      <c r="J636" s="5">
        <v>60.299187048770818</v>
      </c>
      <c r="K636" s="5">
        <v>1148.1320000000001</v>
      </c>
      <c r="L636" s="5">
        <v>735.62458257839808</v>
      </c>
      <c r="M636" s="5">
        <v>881.11647856142361</v>
      </c>
      <c r="N636" s="5">
        <v>789.64110926289788</v>
      </c>
      <c r="O636" s="5">
        <v>822.32425311307804</v>
      </c>
      <c r="P636">
        <v>793.41065897743147</v>
      </c>
      <c r="Q636" s="5">
        <v>685.45706070776532</v>
      </c>
      <c r="R636" s="5">
        <v>726.885498046875</v>
      </c>
      <c r="S636" s="5">
        <v>719.2850341796875</v>
      </c>
      <c r="T636" s="5">
        <v>905.88414624586619</v>
      </c>
      <c r="U636" s="5">
        <v>759.39829518342276</v>
      </c>
      <c r="V636" s="5">
        <v>640.04421970566364</v>
      </c>
      <c r="Y636" s="5">
        <v>627.66130935082015</v>
      </c>
    </row>
    <row r="637" spans="1:25">
      <c r="A637">
        <v>166</v>
      </c>
      <c r="B637">
        <v>5</v>
      </c>
      <c r="C637">
        <v>274.60000000000002</v>
      </c>
      <c r="D637">
        <v>18.720078217418219</v>
      </c>
      <c r="E637">
        <v>3.975903614457831</v>
      </c>
      <c r="F637">
        <v>1863</v>
      </c>
      <c r="G637" s="35">
        <v>1848.666666666667</v>
      </c>
      <c r="H637" s="5">
        <v>2182.3735648634702</v>
      </c>
      <c r="I637" s="5">
        <v>2182.373689028032</v>
      </c>
      <c r="J637" s="5">
        <v>2182.396597889714</v>
      </c>
      <c r="K637" s="5">
        <v>1845.017711946015</v>
      </c>
      <c r="L637" s="5">
        <v>1884.542898785623</v>
      </c>
      <c r="M637" s="5">
        <v>1882.6813010457911</v>
      </c>
      <c r="N637" s="5">
        <v>1908.110309459086</v>
      </c>
      <c r="O637" s="5">
        <v>1888.866111901046</v>
      </c>
      <c r="P637">
        <v>1887.7301229818911</v>
      </c>
      <c r="Q637" s="5">
        <v>1769.399220765813</v>
      </c>
      <c r="R637" s="5">
        <v>1881.509521484375</v>
      </c>
      <c r="S637" s="5">
        <v>1805.3082275390625</v>
      </c>
      <c r="T637" s="5">
        <v>1679.9889098782562</v>
      </c>
      <c r="U637" s="5">
        <v>1482.8280124552666</v>
      </c>
      <c r="V637" s="5">
        <v>1323.3975976374068</v>
      </c>
      <c r="W637" s="5">
        <v>1267.3536181476302</v>
      </c>
    </row>
    <row r="638" spans="1:25">
      <c r="A638">
        <v>76.428599999999989</v>
      </c>
      <c r="B638">
        <v>1.7018</v>
      </c>
      <c r="C638">
        <v>363.28476108320001</v>
      </c>
      <c r="D638">
        <v>24.959021353600001</v>
      </c>
      <c r="E638">
        <v>1.993353273512795</v>
      </c>
      <c r="F638">
        <v>355.85772800000001</v>
      </c>
      <c r="G638" s="35">
        <v>535.50454033798553</v>
      </c>
      <c r="H638" s="5">
        <v>-1367.561710876957</v>
      </c>
      <c r="I638" s="5">
        <v>-1367.561032730945</v>
      </c>
      <c r="J638" s="5">
        <v>-1367.461461391109</v>
      </c>
      <c r="K638" s="5">
        <v>401.10912503200001</v>
      </c>
      <c r="L638" s="5">
        <v>443.06304185005609</v>
      </c>
      <c r="M638" s="5">
        <v>431.63504884194111</v>
      </c>
      <c r="N638" s="5">
        <v>399.5121152272776</v>
      </c>
      <c r="O638" s="5">
        <v>405.6526295405734</v>
      </c>
      <c r="P638">
        <v>373.28640900772717</v>
      </c>
      <c r="Q638" s="5">
        <v>466.98186206506949</v>
      </c>
      <c r="R638" s="5">
        <v>372.00299072265619</v>
      </c>
      <c r="S638" s="5">
        <v>319.1275634765625</v>
      </c>
      <c r="T638" s="5">
        <v>426.82372581273995</v>
      </c>
      <c r="U638" s="5">
        <v>339.65872700508567</v>
      </c>
      <c r="V638" s="5">
        <v>300.6494952913846</v>
      </c>
      <c r="W638" s="5">
        <v>301.32387651227452</v>
      </c>
      <c r="Y638" s="5">
        <v>243.70396531017181</v>
      </c>
    </row>
    <row r="639" spans="1:25">
      <c r="A639">
        <v>200</v>
      </c>
      <c r="B639">
        <v>3</v>
      </c>
      <c r="C639">
        <v>303.5</v>
      </c>
      <c r="D639">
        <v>32.457457285750117</v>
      </c>
      <c r="E639">
        <v>3</v>
      </c>
      <c r="F639">
        <v>2383</v>
      </c>
      <c r="G639" s="35">
        <v>2160</v>
      </c>
      <c r="H639" s="5">
        <v>3014.7286377537898</v>
      </c>
      <c r="I639" s="5">
        <v>3014.7284784843719</v>
      </c>
      <c r="J639" s="5">
        <v>3014.776973092577</v>
      </c>
      <c r="K639" s="5">
        <v>2128.91</v>
      </c>
      <c r="L639" s="5">
        <v>2065.8676410564849</v>
      </c>
      <c r="M639" s="5">
        <v>2157.8923948220072</v>
      </c>
      <c r="N639" s="5">
        <v>1992.8789117630349</v>
      </c>
      <c r="O639" s="5">
        <v>2075.2254833574762</v>
      </c>
      <c r="P639">
        <v>2045.027269936716</v>
      </c>
      <c r="Q639" s="5">
        <v>1979.580094728198</v>
      </c>
      <c r="R639" s="5">
        <v>2172.882080078125</v>
      </c>
      <c r="S639" s="5">
        <v>2077.528564453125</v>
      </c>
      <c r="T639" s="5">
        <v>1875.8897190306823</v>
      </c>
      <c r="U639" s="5">
        <v>1872.2924152519502</v>
      </c>
      <c r="V639" s="5">
        <v>1611.0297999413374</v>
      </c>
      <c r="W639" s="5">
        <v>1553.4708277038726</v>
      </c>
      <c r="X639" s="5">
        <v>1784.835372819605</v>
      </c>
      <c r="Y639" s="5">
        <v>1463.8083000570621</v>
      </c>
    </row>
    <row r="640" spans="1:25">
      <c r="A640">
        <v>96</v>
      </c>
      <c r="B640">
        <v>5</v>
      </c>
      <c r="C640">
        <v>410.89863500000001</v>
      </c>
      <c r="D640">
        <v>38.255741649999997</v>
      </c>
      <c r="E640">
        <v>4.21875</v>
      </c>
      <c r="F640">
        <v>1122.8614282791541</v>
      </c>
      <c r="G640" s="35">
        <v>1098.0146296728519</v>
      </c>
      <c r="H640" s="5">
        <v>792.8239070120685</v>
      </c>
      <c r="I640" s="5">
        <v>792.82421390286731</v>
      </c>
      <c r="J640" s="5">
        <v>792.78936357383395</v>
      </c>
      <c r="K640" s="5">
        <v>1072.715969949254</v>
      </c>
      <c r="L640" s="5">
        <v>1084.078309333478</v>
      </c>
      <c r="M640" s="5">
        <v>1074.5572191087281</v>
      </c>
      <c r="N640" s="5">
        <v>1078.0163374092681</v>
      </c>
      <c r="O640" s="5">
        <v>1115.38094909348</v>
      </c>
      <c r="P640">
        <v>1106.1273026029589</v>
      </c>
      <c r="Q640" s="5">
        <v>1042.5842313323051</v>
      </c>
      <c r="R640" s="5">
        <v>1083.4228515625</v>
      </c>
      <c r="S640" s="5">
        <v>1153.3013916015625</v>
      </c>
      <c r="T640" s="5">
        <v>1156.2852504846458</v>
      </c>
      <c r="U640" s="5">
        <v>1173.7249340525675</v>
      </c>
      <c r="V640" s="5">
        <v>1051.7459257754322</v>
      </c>
      <c r="W640" s="5">
        <v>1013.6562992831724</v>
      </c>
      <c r="X640" s="5">
        <v>959.37581130395927</v>
      </c>
      <c r="Y640" s="5">
        <v>786.46746120222167</v>
      </c>
    </row>
    <row r="641" spans="1:25">
      <c r="A641">
        <v>89.32</v>
      </c>
      <c r="B641">
        <v>2.74</v>
      </c>
      <c r="C641">
        <v>360</v>
      </c>
      <c r="D641">
        <v>23.98620160597271</v>
      </c>
      <c r="E641">
        <v>3.8065382892969102</v>
      </c>
      <c r="F641">
        <v>635</v>
      </c>
      <c r="G641" s="35">
        <v>546.42337309512163</v>
      </c>
      <c r="H641" s="5">
        <v>-533.21734699807712</v>
      </c>
      <c r="I641" s="5">
        <v>-533.21692769677611</v>
      </c>
      <c r="J641" s="5">
        <v>-533.1758446480012</v>
      </c>
      <c r="K641" s="5">
        <v>567</v>
      </c>
      <c r="L641" s="5">
        <v>550.91394459706964</v>
      </c>
      <c r="M641" s="5">
        <v>543.80613594075646</v>
      </c>
      <c r="N641" s="5">
        <v>577.91808047926327</v>
      </c>
      <c r="O641" s="5">
        <v>603.57944268692347</v>
      </c>
      <c r="P641">
        <v>583.47913975864708</v>
      </c>
      <c r="Q641" s="5">
        <v>602.75694767176378</v>
      </c>
      <c r="R641" s="5">
        <v>582.70550537109375</v>
      </c>
      <c r="S641" s="5">
        <v>581.878662109375</v>
      </c>
      <c r="T641" s="5">
        <v>621.46388580079679</v>
      </c>
      <c r="U641" s="5">
        <v>567.06594153853166</v>
      </c>
      <c r="V641" s="5">
        <v>506.59906569556478</v>
      </c>
      <c r="W641" s="5">
        <v>490.92056227183366</v>
      </c>
      <c r="Y641" s="5">
        <v>390.00140013797699</v>
      </c>
    </row>
    <row r="642" spans="1:25">
      <c r="A642">
        <v>372</v>
      </c>
      <c r="B642">
        <v>3.64</v>
      </c>
      <c r="C642">
        <v>320</v>
      </c>
      <c r="D642">
        <v>73.2</v>
      </c>
      <c r="E642">
        <v>2</v>
      </c>
      <c r="F642">
        <v>9996</v>
      </c>
      <c r="G642" s="35">
        <v>9383.5</v>
      </c>
      <c r="H642" s="5">
        <v>9265.8628747333678</v>
      </c>
      <c r="I642" s="5">
        <v>9265.861682457944</v>
      </c>
      <c r="J642" s="5">
        <v>9265.8471338901327</v>
      </c>
      <c r="K642" s="5">
        <v>11052</v>
      </c>
      <c r="L642" s="5">
        <v>9145.3320444139172</v>
      </c>
      <c r="M642" s="5">
        <v>9383.5</v>
      </c>
      <c r="N642" s="5">
        <v>10033.790321941229</v>
      </c>
      <c r="O642" s="5">
        <v>9520.3363234183507</v>
      </c>
      <c r="P642">
        <v>9602.6305505944656</v>
      </c>
      <c r="Q642" s="5">
        <v>9307.702812730673</v>
      </c>
      <c r="R642" s="5">
        <v>9394.0244140625</v>
      </c>
      <c r="S642" s="5">
        <v>9708.390625</v>
      </c>
      <c r="T642" s="5">
        <v>9793.2948789714046</v>
      </c>
      <c r="U642" s="5">
        <v>9831.1897616435181</v>
      </c>
      <c r="V642" s="5">
        <v>8137.2270384852072</v>
      </c>
    </row>
    <row r="643" spans="1:25">
      <c r="A643">
        <v>165</v>
      </c>
      <c r="B643">
        <v>2.72</v>
      </c>
      <c r="C643">
        <v>350</v>
      </c>
      <c r="D643">
        <v>31.488597340547791</v>
      </c>
      <c r="E643">
        <v>3.0909090909090908</v>
      </c>
      <c r="F643">
        <v>1750</v>
      </c>
      <c r="G643" s="35">
        <v>1549.6425738606449</v>
      </c>
      <c r="H643" s="5">
        <v>1939.657078347296</v>
      </c>
      <c r="I643" s="5">
        <v>1939.657079118102</v>
      </c>
      <c r="J643" s="5">
        <v>1939.691030649079</v>
      </c>
      <c r="K643" s="5">
        <v>1637.9375</v>
      </c>
      <c r="L643" s="5">
        <v>1551.846647033545</v>
      </c>
      <c r="M643" s="5">
        <v>1559.4241100323629</v>
      </c>
      <c r="N643" s="5">
        <v>1445.1739955883929</v>
      </c>
      <c r="O643" s="5">
        <v>1431.030561678328</v>
      </c>
      <c r="P643">
        <v>1466.3447970418799</v>
      </c>
      <c r="Q643" s="5">
        <v>1418.8433769824751</v>
      </c>
      <c r="R643" s="5">
        <v>1479.618408203125</v>
      </c>
      <c r="S643" s="5">
        <v>1569.800048828125</v>
      </c>
      <c r="T643" s="5">
        <v>1466.7787553836299</v>
      </c>
      <c r="U643" s="5">
        <v>1415.8996473675365</v>
      </c>
      <c r="V643" s="5">
        <v>1230.0590397165975</v>
      </c>
      <c r="W643" s="5">
        <v>1173.6223245083488</v>
      </c>
      <c r="X643" s="5">
        <v>1330.8325208298299</v>
      </c>
      <c r="Y643" s="5">
        <v>1074.6340441368509</v>
      </c>
    </row>
    <row r="644" spans="1:25">
      <c r="A644">
        <v>101.7</v>
      </c>
      <c r="B644">
        <v>2.4</v>
      </c>
      <c r="C644">
        <v>380</v>
      </c>
      <c r="D644">
        <v>57</v>
      </c>
      <c r="E644">
        <v>3.5004916420845622</v>
      </c>
      <c r="F644">
        <v>690</v>
      </c>
      <c r="G644" s="35">
        <v>740</v>
      </c>
      <c r="H644" s="5">
        <v>322.03993758121533</v>
      </c>
      <c r="I644" s="5">
        <v>322.0401552141243</v>
      </c>
      <c r="J644" s="5">
        <v>322.05449246908262</v>
      </c>
      <c r="K644" s="5">
        <v>856.66666666666663</v>
      </c>
      <c r="L644" s="5">
        <v>769.43890594181505</v>
      </c>
      <c r="M644" s="5">
        <v>739.70618932038838</v>
      </c>
      <c r="N644" s="5">
        <v>765.7682095120424</v>
      </c>
      <c r="O644" s="5">
        <v>763.22960298929593</v>
      </c>
      <c r="P644">
        <v>847.62151842243873</v>
      </c>
      <c r="Q644" s="5">
        <v>772.93088491160438</v>
      </c>
      <c r="R644" s="5">
        <v>740.09039306640625</v>
      </c>
      <c r="S644" s="5">
        <v>899.879150390625</v>
      </c>
      <c r="T644" s="5">
        <v>958.74882380225131</v>
      </c>
      <c r="U644" s="5">
        <v>881.2536043509308</v>
      </c>
      <c r="V644" s="5">
        <v>761.61272899635583</v>
      </c>
      <c r="W644" s="5">
        <v>865.92753279700639</v>
      </c>
      <c r="X644" s="5">
        <v>801.20846410600382</v>
      </c>
      <c r="Y644" s="5">
        <v>675.40943600121273</v>
      </c>
    </row>
    <row r="645" spans="1:25">
      <c r="A645">
        <v>140</v>
      </c>
      <c r="B645">
        <v>5</v>
      </c>
      <c r="C645">
        <v>378.28</v>
      </c>
      <c r="D645">
        <v>31.6</v>
      </c>
      <c r="E645">
        <v>6</v>
      </c>
      <c r="F645">
        <v>1391.6</v>
      </c>
      <c r="G645" s="35">
        <v>1394.524990280752</v>
      </c>
      <c r="H645" s="5">
        <v>2088.380040076639</v>
      </c>
      <c r="I645" s="5">
        <v>2088.3799281349588</v>
      </c>
      <c r="J645" s="5">
        <v>2088.3203032498818</v>
      </c>
      <c r="K645" s="5">
        <v>1368.158333333334</v>
      </c>
      <c r="L645" s="5">
        <v>1397.8939912995629</v>
      </c>
      <c r="M645" s="5">
        <v>1421.9800970873789</v>
      </c>
      <c r="N645" s="5">
        <v>1386.493361049048</v>
      </c>
      <c r="O645" s="5">
        <v>1381.0687050001161</v>
      </c>
      <c r="P645">
        <v>1386.342763910998</v>
      </c>
      <c r="Q645" s="5">
        <v>1454.261067951408</v>
      </c>
      <c r="R645" s="5">
        <v>1427.758056640625</v>
      </c>
      <c r="S645" s="5">
        <v>1439.531005859375</v>
      </c>
      <c r="T645" s="5">
        <v>1509.2001029017895</v>
      </c>
      <c r="U645" s="5">
        <v>1718.9512602322152</v>
      </c>
      <c r="V645" s="5">
        <v>1532.4968066449437</v>
      </c>
      <c r="W645" s="5">
        <v>1504.1608229938695</v>
      </c>
      <c r="X645" s="5">
        <v>1316.5457344144261</v>
      </c>
      <c r="Y645" s="5">
        <v>1167.5881763381019</v>
      </c>
    </row>
    <row r="646" spans="1:25">
      <c r="A646">
        <v>219.1</v>
      </c>
      <c r="B646">
        <v>6.3</v>
      </c>
      <c r="C646">
        <v>300</v>
      </c>
      <c r="D646">
        <v>140</v>
      </c>
      <c r="E646">
        <v>2.7384755819260609</v>
      </c>
      <c r="F646">
        <v>7400</v>
      </c>
      <c r="G646" s="35">
        <v>7569</v>
      </c>
      <c r="H646" s="5">
        <v>6269.4529969236228</v>
      </c>
      <c r="I646" s="5">
        <v>6269.4525405179174</v>
      </c>
      <c r="J646" s="5">
        <v>6269.3835702560964</v>
      </c>
      <c r="K646" s="5">
        <v>7403.375</v>
      </c>
      <c r="L646" s="5">
        <v>7390.9938640142846</v>
      </c>
      <c r="M646" s="5">
        <v>7569</v>
      </c>
      <c r="N646" s="5">
        <v>7354.9416879238734</v>
      </c>
      <c r="O646" s="5">
        <v>7298.8276077118426</v>
      </c>
      <c r="P646">
        <v>6922.1421928212831</v>
      </c>
      <c r="Q646" s="5">
        <v>7246.2309419019957</v>
      </c>
      <c r="R646" s="5">
        <v>7547.51123046875</v>
      </c>
      <c r="S646" s="5">
        <v>7072.34912109375</v>
      </c>
      <c r="T646" s="5">
        <v>6758.6842222241858</v>
      </c>
      <c r="U646" s="5">
        <v>6508.2340194857998</v>
      </c>
      <c r="V646" s="5">
        <v>5638.4471975046072</v>
      </c>
    </row>
    <row r="647" spans="1:25">
      <c r="A647">
        <v>165</v>
      </c>
      <c r="B647">
        <v>2</v>
      </c>
      <c r="C647">
        <v>338</v>
      </c>
      <c r="D647">
        <v>49.777395755965507</v>
      </c>
      <c r="E647">
        <v>3.0303030303030298</v>
      </c>
      <c r="F647">
        <v>1930.6</v>
      </c>
      <c r="G647" s="35">
        <v>2234.4</v>
      </c>
      <c r="H647" s="5">
        <v>1997.417648419761</v>
      </c>
      <c r="I647" s="5">
        <v>1997.417560675528</v>
      </c>
      <c r="J647" s="5">
        <v>1997.445173360813</v>
      </c>
      <c r="K647" s="5">
        <v>2218.0461538461541</v>
      </c>
      <c r="L647" s="5">
        <v>2235.8436069765862</v>
      </c>
      <c r="M647" s="5">
        <v>2234.3227656324329</v>
      </c>
      <c r="N647" s="5">
        <v>2208.7753027944959</v>
      </c>
      <c r="O647" s="5">
        <v>2262.3796807164272</v>
      </c>
      <c r="P647">
        <v>2292.168069292039</v>
      </c>
      <c r="Q647" s="5">
        <v>2186.9156946802968</v>
      </c>
      <c r="R647" s="5">
        <v>2236.97265625</v>
      </c>
      <c r="S647" s="5">
        <v>1935.2357177734375</v>
      </c>
      <c r="T647" s="5">
        <v>1695.8383351833138</v>
      </c>
      <c r="U647" s="5">
        <v>1574.1720587285729</v>
      </c>
      <c r="V647" s="5">
        <v>1329.089107884829</v>
      </c>
      <c r="W647" s="5">
        <v>1361.7303335383394</v>
      </c>
      <c r="Y647" s="5">
        <v>1295.291419102135</v>
      </c>
    </row>
    <row r="648" spans="1:25">
      <c r="A648">
        <v>116</v>
      </c>
      <c r="B648">
        <v>4.9000000000000004</v>
      </c>
      <c r="C648">
        <v>309.5</v>
      </c>
      <c r="D648">
        <v>56.303573784278058</v>
      </c>
      <c r="E648">
        <v>2.9655172413793101</v>
      </c>
      <c r="F648">
        <v>1120</v>
      </c>
      <c r="G648" s="35">
        <v>1306.1468636546749</v>
      </c>
      <c r="H648" s="5">
        <v>1259.8982753439971</v>
      </c>
      <c r="I648" s="5">
        <v>1259.8986262157259</v>
      </c>
      <c r="J648" s="5">
        <v>1259.917531164004</v>
      </c>
      <c r="K648" s="5">
        <v>1104.8307007064259</v>
      </c>
      <c r="L648" s="5">
        <v>1239.2762622315461</v>
      </c>
      <c r="M648" s="5">
        <v>1225.9803721682849</v>
      </c>
      <c r="N648" s="5">
        <v>1197.658042138396</v>
      </c>
      <c r="O648" s="5">
        <v>1221.2421570752219</v>
      </c>
      <c r="P648">
        <v>1297.2572449457091</v>
      </c>
      <c r="Q648" s="5">
        <v>1414.138784021965</v>
      </c>
      <c r="R648" s="5">
        <v>1304.290771484375</v>
      </c>
      <c r="S648" s="5">
        <v>1271.196533203125</v>
      </c>
      <c r="T648" s="5">
        <v>1410.3897052445443</v>
      </c>
      <c r="U648" s="5">
        <v>1356.243838209358</v>
      </c>
      <c r="V648" s="5">
        <v>1187.9638345045946</v>
      </c>
      <c r="W648" s="5">
        <v>1275.6058487464641</v>
      </c>
      <c r="X648" s="5">
        <v>1245.4386556437471</v>
      </c>
      <c r="Y648" s="5">
        <v>996.20415239773399</v>
      </c>
    </row>
    <row r="649" spans="1:25">
      <c r="A649">
        <v>89.32</v>
      </c>
      <c r="B649">
        <v>2.74</v>
      </c>
      <c r="C649">
        <v>360</v>
      </c>
      <c r="D649">
        <v>17.658646438290461</v>
      </c>
      <c r="E649">
        <v>3.8065382892969102</v>
      </c>
      <c r="F649">
        <v>530</v>
      </c>
      <c r="G649" s="35">
        <v>562.02715242588147</v>
      </c>
      <c r="H649" s="5">
        <v>-597.80770784686956</v>
      </c>
      <c r="I649" s="5">
        <v>-597.80729709105526</v>
      </c>
      <c r="J649" s="5">
        <v>-597.76731523146054</v>
      </c>
      <c r="K649" s="5">
        <v>574.4</v>
      </c>
      <c r="L649" s="5">
        <v>572.48344111017207</v>
      </c>
      <c r="M649" s="5">
        <v>557.82226074895982</v>
      </c>
      <c r="N649" s="5">
        <v>552.82199182813474</v>
      </c>
      <c r="O649" s="5">
        <v>581.14144636489789</v>
      </c>
      <c r="P649">
        <v>567.56131523426041</v>
      </c>
      <c r="Q649" s="5">
        <v>608.45508473595692</v>
      </c>
      <c r="R649" s="5">
        <v>562.45391845703125</v>
      </c>
      <c r="S649" s="5">
        <v>516.777099609375</v>
      </c>
      <c r="T649" s="5">
        <v>575.74865343027909</v>
      </c>
      <c r="U649" s="5">
        <v>532.1335466489885</v>
      </c>
      <c r="V649" s="5">
        <v>478.65314978393019</v>
      </c>
      <c r="W649" s="5">
        <v>438.73571674272063</v>
      </c>
    </row>
    <row r="650" spans="1:25">
      <c r="A650">
        <v>152</v>
      </c>
      <c r="B650">
        <v>1.7</v>
      </c>
      <c r="C650">
        <v>328</v>
      </c>
      <c r="D650">
        <v>85</v>
      </c>
      <c r="E650">
        <v>4.3421052631578947</v>
      </c>
      <c r="F650">
        <v>1863</v>
      </c>
      <c r="G650" s="35">
        <v>1834.795155552915</v>
      </c>
      <c r="H650" s="5">
        <v>2119.3297117444858</v>
      </c>
      <c r="I650" s="5">
        <v>2119.3294550746982</v>
      </c>
      <c r="J650" s="5">
        <v>2119.31908059441</v>
      </c>
      <c r="K650" s="5">
        <v>1460.181818181818</v>
      </c>
      <c r="L650" s="5">
        <v>1734.1019416379561</v>
      </c>
      <c r="M650" s="5">
        <v>1765.4281472491909</v>
      </c>
      <c r="N650" s="5">
        <v>1723.471875094745</v>
      </c>
      <c r="O650" s="5">
        <v>1630.063064881833</v>
      </c>
      <c r="P650">
        <v>1708.274604117217</v>
      </c>
      <c r="Q650" s="5">
        <v>1722.679759015607</v>
      </c>
      <c r="R650" s="5">
        <v>1722.482543945312</v>
      </c>
      <c r="S650" s="5">
        <v>1902.7774658203125</v>
      </c>
      <c r="T650" s="5">
        <v>1864.6456629257325</v>
      </c>
      <c r="U650" s="5">
        <v>1900.6932233662087</v>
      </c>
      <c r="V650" s="5">
        <v>1573.6589051504232</v>
      </c>
    </row>
    <row r="651" spans="1:25">
      <c r="A651">
        <v>168.3</v>
      </c>
      <c r="B651">
        <v>3.6</v>
      </c>
      <c r="C651">
        <v>288.39999999999998</v>
      </c>
      <c r="D651">
        <v>27</v>
      </c>
      <c r="E651">
        <v>1.8122400475341649</v>
      </c>
      <c r="F651">
        <v>1557</v>
      </c>
      <c r="G651" s="35">
        <v>1375.2906797409071</v>
      </c>
      <c r="H651" s="5">
        <v>1965.908148234161</v>
      </c>
      <c r="I651" s="5">
        <v>1965.9083813182899</v>
      </c>
      <c r="J651" s="5">
        <v>1965.9871636745549</v>
      </c>
      <c r="K651" s="5">
        <v>1295.8857142857139</v>
      </c>
      <c r="L651" s="5">
        <v>1437.0045144573351</v>
      </c>
      <c r="M651" s="5">
        <v>1442.689072528769</v>
      </c>
      <c r="N651" s="5">
        <v>1444.5963061807599</v>
      </c>
      <c r="O651" s="5">
        <v>1380.2245267508031</v>
      </c>
      <c r="P651">
        <v>1398.738261851378</v>
      </c>
      <c r="Q651" s="5">
        <v>1441.3202306335279</v>
      </c>
      <c r="R651" s="5">
        <v>1435.554077148438</v>
      </c>
      <c r="S651" s="5">
        <v>1678.8577880859375</v>
      </c>
      <c r="T651" s="5">
        <v>1522.0353960276193</v>
      </c>
      <c r="U651" s="5">
        <v>1420.6317632211421</v>
      </c>
      <c r="V651" s="5">
        <v>1243.6631818225046</v>
      </c>
      <c r="W651" s="5">
        <v>1286.1180603191021</v>
      </c>
      <c r="Y651" s="5">
        <v>1057.6262660766431</v>
      </c>
    </row>
    <row r="652" spans="1:25">
      <c r="A652">
        <v>179</v>
      </c>
      <c r="B652">
        <v>5.5</v>
      </c>
      <c r="C652">
        <v>248.50051099999999</v>
      </c>
      <c r="D652">
        <v>22.163029000000002</v>
      </c>
      <c r="E652">
        <v>2.011173184357542</v>
      </c>
      <c r="F652">
        <v>1814.2302552981971</v>
      </c>
      <c r="G652" s="35">
        <v>2036.4281690974981</v>
      </c>
      <c r="H652" s="5">
        <v>2643.1053270686152</v>
      </c>
      <c r="I652" s="5">
        <v>2643.1056153699078</v>
      </c>
      <c r="J652" s="5">
        <v>2643.1781485293782</v>
      </c>
      <c r="K652" s="5">
        <v>2046.9793511169171</v>
      </c>
      <c r="L652" s="5">
        <v>1900.4300141920769</v>
      </c>
      <c r="M652" s="5">
        <v>1953.2915620814349</v>
      </c>
      <c r="N652" s="5">
        <v>1731.9122751670359</v>
      </c>
      <c r="O652" s="5">
        <v>1777.99331603618</v>
      </c>
      <c r="P652">
        <v>1670.7633868617399</v>
      </c>
      <c r="Q652" s="5">
        <v>1825</v>
      </c>
      <c r="R652" s="5">
        <v>1919.784057617188</v>
      </c>
      <c r="S652" s="5">
        <v>2416.33056640625</v>
      </c>
      <c r="T652" s="5">
        <v>2033.5284279903899</v>
      </c>
      <c r="U652" s="5">
        <v>1698.1424973999467</v>
      </c>
      <c r="V652" s="5">
        <v>1505.5178103179985</v>
      </c>
      <c r="W652" s="5">
        <v>1503.2680051819384</v>
      </c>
      <c r="Y652" s="5">
        <v>1208.9700951332809</v>
      </c>
    </row>
    <row r="653" spans="1:25">
      <c r="A653">
        <v>108</v>
      </c>
      <c r="B653">
        <v>10</v>
      </c>
      <c r="C653">
        <v>366.2</v>
      </c>
      <c r="D653">
        <v>63.84</v>
      </c>
      <c r="E653">
        <v>3</v>
      </c>
      <c r="F653">
        <v>2097</v>
      </c>
      <c r="G653" s="35">
        <v>2208.6985302495159</v>
      </c>
      <c r="H653" s="5">
        <v>2654.4827570188959</v>
      </c>
      <c r="I653" s="5">
        <v>2654.4833657599961</v>
      </c>
      <c r="J653" s="5">
        <v>2654.44336656526</v>
      </c>
      <c r="K653" s="5">
        <v>2353.625</v>
      </c>
      <c r="L653" s="5">
        <v>2139.9907916666671</v>
      </c>
      <c r="M653" s="5">
        <v>2176.252141793173</v>
      </c>
      <c r="N653" s="5">
        <v>2090.450089335081</v>
      </c>
      <c r="O653" s="5">
        <v>2097.3225977004649</v>
      </c>
      <c r="P653">
        <v>2229.811036107998</v>
      </c>
      <c r="Q653" s="5">
        <v>1839.723611663587</v>
      </c>
      <c r="R653" s="5">
        <v>2080.025146484375</v>
      </c>
      <c r="S653" s="5">
        <v>2185.32177734375</v>
      </c>
      <c r="T653" s="5">
        <v>2205.5491815636533</v>
      </c>
      <c r="U653" s="5">
        <v>2214.7391287525129</v>
      </c>
      <c r="V653" s="5">
        <v>1974.6289090903369</v>
      </c>
      <c r="W653" s="5">
        <v>1813.0778925417067</v>
      </c>
      <c r="Y653" s="5">
        <v>1484.5808103185741</v>
      </c>
    </row>
    <row r="654" spans="1:25">
      <c r="A654">
        <v>166</v>
      </c>
      <c r="B654">
        <v>5</v>
      </c>
      <c r="C654">
        <v>274.60000000000002</v>
      </c>
      <c r="D654">
        <v>16.643024288945991</v>
      </c>
      <c r="E654">
        <v>3.975903614457831</v>
      </c>
      <c r="F654">
        <v>1735</v>
      </c>
      <c r="G654" s="35">
        <v>1695</v>
      </c>
      <c r="H654" s="5">
        <v>2213.8289643898888</v>
      </c>
      <c r="I654" s="5">
        <v>2213.8290407129311</v>
      </c>
      <c r="J654" s="5">
        <v>2213.849647855071</v>
      </c>
      <c r="K654" s="5">
        <v>1842.0872430809429</v>
      </c>
      <c r="L654" s="5">
        <v>1754.3173334393839</v>
      </c>
      <c r="M654" s="5">
        <v>1703.150938700602</v>
      </c>
      <c r="N654" s="5">
        <v>1667.876800827532</v>
      </c>
      <c r="O654" s="5">
        <v>1717.364581442333</v>
      </c>
      <c r="P654">
        <v>1770.517393173312</v>
      </c>
      <c r="Q654" s="5">
        <v>1783.4375006242119</v>
      </c>
      <c r="R654" s="5">
        <v>1701.147583007812</v>
      </c>
      <c r="S654" s="5">
        <v>1849.6488037109375</v>
      </c>
      <c r="T654" s="5">
        <v>1657.2986040334981</v>
      </c>
      <c r="U654" s="5">
        <v>1443.1283466600025</v>
      </c>
      <c r="V654" s="5">
        <v>1291.6378650011957</v>
      </c>
      <c r="W654" s="5">
        <v>1211.7429393247573</v>
      </c>
    </row>
    <row r="655" spans="1:25">
      <c r="A655">
        <v>337</v>
      </c>
      <c r="B655">
        <v>6.47</v>
      </c>
      <c r="C655">
        <v>823</v>
      </c>
      <c r="D655">
        <v>25.4</v>
      </c>
      <c r="E655">
        <v>3</v>
      </c>
      <c r="F655">
        <v>8475</v>
      </c>
      <c r="G655" s="35">
        <v>9274.4159360427839</v>
      </c>
      <c r="H655" s="5">
        <v>10171.86203640711</v>
      </c>
      <c r="I655" s="5">
        <v>10171.86085064016</v>
      </c>
      <c r="J655" s="5">
        <v>10171.73110287342</v>
      </c>
      <c r="K655" s="5">
        <v>6994.106651266241</v>
      </c>
      <c r="L655" s="5">
        <v>7754.0676594498491</v>
      </c>
      <c r="M655" s="5">
        <v>8907.3713592233016</v>
      </c>
      <c r="N655" s="5">
        <v>9487.5576480467134</v>
      </c>
      <c r="O655" s="5">
        <v>9187.2829317484684</v>
      </c>
      <c r="P655">
        <v>8312.0194571310331</v>
      </c>
      <c r="Q655" s="5">
        <v>7287.8304679491466</v>
      </c>
      <c r="R655" s="5">
        <v>8284.466796875</v>
      </c>
      <c r="S655" s="5">
        <v>8404.046875</v>
      </c>
      <c r="T655" s="5">
        <v>8851.0536426795352</v>
      </c>
      <c r="U655" s="5">
        <v>10499.387605782089</v>
      </c>
      <c r="V655" s="5">
        <v>9947.4746183308253</v>
      </c>
    </row>
    <row r="656" spans="1:25">
      <c r="A656">
        <v>127</v>
      </c>
      <c r="B656">
        <v>7</v>
      </c>
      <c r="C656">
        <v>429</v>
      </c>
      <c r="D656">
        <v>67.760000000000005</v>
      </c>
      <c r="E656">
        <v>3.5039370078740162</v>
      </c>
      <c r="F656">
        <v>3404</v>
      </c>
      <c r="G656" s="35">
        <v>3367</v>
      </c>
      <c r="H656" s="5">
        <v>2798.0929025639921</v>
      </c>
      <c r="I656" s="5">
        <v>2798.093096626817</v>
      </c>
      <c r="J656" s="5">
        <v>2798.0427337880269</v>
      </c>
      <c r="K656" s="5">
        <v>3396.1111111111109</v>
      </c>
      <c r="L656" s="5">
        <v>3352.745789606226</v>
      </c>
      <c r="M656" s="5">
        <v>3367</v>
      </c>
      <c r="N656" s="5">
        <v>3114.595374426387</v>
      </c>
      <c r="O656" s="5">
        <v>3305.4618943688788</v>
      </c>
      <c r="P656">
        <v>3278.051069658638</v>
      </c>
      <c r="Q656" s="5">
        <v>3001.447139638989</v>
      </c>
      <c r="R656" s="5">
        <v>3373.6826171875</v>
      </c>
      <c r="S656" s="5">
        <v>3309.4462890625</v>
      </c>
      <c r="T656" s="5">
        <v>2534.2250869484933</v>
      </c>
      <c r="U656" s="5">
        <v>2513.5570547062166</v>
      </c>
      <c r="V656" s="5">
        <v>2227.2818762777788</v>
      </c>
      <c r="W656" s="5">
        <v>2262.5168900194417</v>
      </c>
      <c r="Y656" s="5">
        <v>1756.2629955779839</v>
      </c>
    </row>
    <row r="657" spans="1:25">
      <c r="A657">
        <v>140</v>
      </c>
      <c r="B657">
        <v>6.68</v>
      </c>
      <c r="C657">
        <v>537</v>
      </c>
      <c r="D657">
        <v>28.18</v>
      </c>
      <c r="E657">
        <v>4.5357142857142856</v>
      </c>
      <c r="F657">
        <v>2715</v>
      </c>
      <c r="G657" s="35">
        <v>1125.6549662194079</v>
      </c>
      <c r="H657" s="5">
        <v>2985.389822065722</v>
      </c>
      <c r="I657" s="5">
        <v>2985.3898576942779</v>
      </c>
      <c r="J657" s="5">
        <v>2985.325917396674</v>
      </c>
      <c r="K657" s="5">
        <v>2353.2301586749072</v>
      </c>
      <c r="L657" s="5">
        <v>2469.1824081691839</v>
      </c>
      <c r="M657" s="5">
        <v>2226.926319696116</v>
      </c>
      <c r="N657" s="5">
        <v>2945.6299459084312</v>
      </c>
      <c r="O657" s="5">
        <v>2285.2924457488461</v>
      </c>
      <c r="P657">
        <v>2370.5971022666999</v>
      </c>
      <c r="Q657" s="5">
        <v>2146.0978930672659</v>
      </c>
      <c r="R657" s="5">
        <v>2983.124755859375</v>
      </c>
      <c r="S657" s="5">
        <v>2961.2783203125</v>
      </c>
      <c r="T657" s="5">
        <v>2506.847388316326</v>
      </c>
      <c r="U657" s="5">
        <v>2638.6569186576867</v>
      </c>
      <c r="V657" s="5">
        <v>2521.2937452645228</v>
      </c>
      <c r="W657" s="5">
        <v>2223.2768814870633</v>
      </c>
    </row>
    <row r="658" spans="1:25">
      <c r="A658">
        <v>108</v>
      </c>
      <c r="B658">
        <v>5.5</v>
      </c>
      <c r="C658">
        <v>383.1</v>
      </c>
      <c r="D658">
        <v>91.52000000000001</v>
      </c>
      <c r="E658">
        <v>3</v>
      </c>
      <c r="F658">
        <v>1908</v>
      </c>
      <c r="G658" s="35">
        <v>1940.4476987447699</v>
      </c>
      <c r="H658" s="5">
        <v>1907.778049555325</v>
      </c>
      <c r="I658" s="5">
        <v>1907.778271553703</v>
      </c>
      <c r="J658" s="5">
        <v>1907.7507538855079</v>
      </c>
      <c r="K658" s="5">
        <v>2306.8571428571431</v>
      </c>
      <c r="L658" s="5">
        <v>1948.8202390109891</v>
      </c>
      <c r="M658" s="5">
        <v>1945.858899676376</v>
      </c>
      <c r="N658" s="5">
        <v>1970.3573982219989</v>
      </c>
      <c r="O658" s="5">
        <v>1913.314098395457</v>
      </c>
      <c r="P658">
        <v>1945.6192121318579</v>
      </c>
      <c r="Q658" s="5">
        <v>1878.4873774126879</v>
      </c>
      <c r="R658" s="5">
        <v>1947.751586914062</v>
      </c>
      <c r="S658" s="5">
        <v>1866.501220703125</v>
      </c>
      <c r="T658" s="5">
        <v>1872.8350560499446</v>
      </c>
      <c r="U658" s="5">
        <v>1775.4823115160268</v>
      </c>
      <c r="V658" s="5">
        <v>1550.8591612682462</v>
      </c>
    </row>
    <row r="659" spans="1:25">
      <c r="A659">
        <v>114.3</v>
      </c>
      <c r="B659">
        <v>6.3</v>
      </c>
      <c r="C659">
        <v>428</v>
      </c>
      <c r="D659">
        <v>168.29499999999999</v>
      </c>
      <c r="E659">
        <v>2.1872265966754161</v>
      </c>
      <c r="F659">
        <v>2610</v>
      </c>
      <c r="G659" s="35">
        <v>2469.9248930052158</v>
      </c>
      <c r="H659" s="5">
        <v>3877.7693760732518</v>
      </c>
      <c r="I659" s="5">
        <v>3877.769416772046</v>
      </c>
      <c r="J659" s="5">
        <v>3877.6788012527409</v>
      </c>
      <c r="K659" s="5">
        <v>2176.58</v>
      </c>
      <c r="L659" s="5">
        <v>2477.5506089743599</v>
      </c>
      <c r="M659" s="5">
        <v>2625.5108269414759</v>
      </c>
      <c r="N659" s="5">
        <v>2717.9257872099038</v>
      </c>
      <c r="O659" s="5">
        <v>2883.1739429964682</v>
      </c>
      <c r="P659">
        <v>3051.4779658376751</v>
      </c>
      <c r="Q659" s="5">
        <v>2362.6796188431981</v>
      </c>
      <c r="R659" s="5">
        <v>3672.45361328125</v>
      </c>
      <c r="S659" s="5">
        <v>2538.72412109375</v>
      </c>
      <c r="T659" s="5">
        <v>2830.3605561195141</v>
      </c>
      <c r="U659" s="5">
        <v>2684.516985577101</v>
      </c>
      <c r="V659" s="5">
        <v>2454.2591241585092</v>
      </c>
    </row>
    <row r="660" spans="1:25">
      <c r="A660">
        <v>166</v>
      </c>
      <c r="B660">
        <v>5</v>
      </c>
      <c r="C660">
        <v>277.33999999999997</v>
      </c>
      <c r="D660">
        <v>39.06</v>
      </c>
      <c r="E660">
        <v>4.2771084337349397</v>
      </c>
      <c r="F660">
        <v>1656.2</v>
      </c>
      <c r="G660" s="35">
        <v>1819.666666666667</v>
      </c>
      <c r="H660" s="5">
        <v>2519.124552517681</v>
      </c>
      <c r="I660" s="5">
        <v>2519.124560989565</v>
      </c>
      <c r="J660" s="5">
        <v>2519.1248320779459</v>
      </c>
      <c r="K660" s="5">
        <v>1735.2308288499221</v>
      </c>
      <c r="L660" s="5">
        <v>1841.4571932699989</v>
      </c>
      <c r="M660" s="5">
        <v>1806.846508896919</v>
      </c>
      <c r="N660" s="5">
        <v>1721.8862429359181</v>
      </c>
      <c r="O660" s="5">
        <v>1584.0462203419929</v>
      </c>
      <c r="P660">
        <v>1721.327065196715</v>
      </c>
      <c r="Q660" s="5">
        <v>1774.0697779382269</v>
      </c>
      <c r="R660" s="5">
        <v>1807.886352539062</v>
      </c>
      <c r="S660" s="5">
        <v>1842.560791015625</v>
      </c>
      <c r="T660" s="5">
        <v>1924.3861587444196</v>
      </c>
      <c r="U660" s="5">
        <v>1882.8197301228504</v>
      </c>
      <c r="V660" s="5">
        <v>1644.7593272493489</v>
      </c>
      <c r="W660" s="5">
        <v>1767.4448376589012</v>
      </c>
      <c r="X660" s="5">
        <v>1669.538985368077</v>
      </c>
      <c r="Y660" s="5">
        <v>1392.4450062744399</v>
      </c>
    </row>
    <row r="661" spans="1:25">
      <c r="A661">
        <v>219.25</v>
      </c>
      <c r="B661">
        <v>6.05</v>
      </c>
      <c r="C661">
        <v>302.04482000000002</v>
      </c>
      <c r="D661">
        <v>30.767383710000001</v>
      </c>
      <c r="E661">
        <v>4.2941847206385404</v>
      </c>
      <c r="F661">
        <v>2804.701908190726</v>
      </c>
      <c r="G661" s="35">
        <v>2678.494003483183</v>
      </c>
      <c r="H661" s="5">
        <v>4495.1721704525917</v>
      </c>
      <c r="I661" s="5">
        <v>4495.1719229827986</v>
      </c>
      <c r="J661" s="5">
        <v>4495.1575911579057</v>
      </c>
      <c r="K661" s="5">
        <v>6896.4076014471329</v>
      </c>
      <c r="L661" s="5">
        <v>5375.9600160291538</v>
      </c>
      <c r="M661" s="5">
        <v>2884.131555976332</v>
      </c>
      <c r="N661" s="5">
        <v>3703.5728877065139</v>
      </c>
      <c r="O661" s="5">
        <v>3290.325173727013</v>
      </c>
      <c r="P661">
        <v>2867.2197539861759</v>
      </c>
      <c r="Q661" s="5">
        <v>3816.201394534919</v>
      </c>
      <c r="R661" s="5">
        <v>3781.85302734375</v>
      </c>
      <c r="S661" s="5">
        <v>3187.77587890625</v>
      </c>
      <c r="T661" s="5">
        <v>3059.4461947450695</v>
      </c>
      <c r="U661" s="5">
        <v>3019.7318576586827</v>
      </c>
      <c r="V661" s="5">
        <v>2658.2006850754778</v>
      </c>
      <c r="W661" s="5">
        <v>2712.3096126279293</v>
      </c>
      <c r="X661" s="5">
        <v>2657.0368105568641</v>
      </c>
      <c r="Y661" s="5">
        <v>2180.6801140162988</v>
      </c>
    </row>
    <row r="662" spans="1:25">
      <c r="A662">
        <v>101.8</v>
      </c>
      <c r="B662">
        <v>3.03</v>
      </c>
      <c r="C662">
        <v>371</v>
      </c>
      <c r="D662">
        <v>23.2</v>
      </c>
      <c r="E662">
        <v>2.9960707269155211</v>
      </c>
      <c r="F662">
        <v>682</v>
      </c>
      <c r="G662" s="35">
        <v>655.5</v>
      </c>
      <c r="H662" s="5">
        <v>-3.1016583223467928</v>
      </c>
      <c r="I662" s="5">
        <v>-3.1012631188691562</v>
      </c>
      <c r="J662" s="5">
        <v>-3.0737854782059908</v>
      </c>
      <c r="K662" s="5">
        <v>651.1</v>
      </c>
      <c r="L662" s="5">
        <v>654.50281143856057</v>
      </c>
      <c r="M662" s="5">
        <v>655.01779935275079</v>
      </c>
      <c r="N662" s="5">
        <v>678.75640810433163</v>
      </c>
      <c r="O662" s="5">
        <v>661.67104020321722</v>
      </c>
      <c r="P662">
        <v>687.33166503718621</v>
      </c>
      <c r="Q662" s="5">
        <v>729.43997537467908</v>
      </c>
      <c r="R662" s="5">
        <v>653.25335693359375</v>
      </c>
      <c r="S662" s="5">
        <v>695.01025390625</v>
      </c>
      <c r="T662" s="5">
        <v>794.3888590002997</v>
      </c>
      <c r="U662" s="5">
        <v>732.09405286095375</v>
      </c>
      <c r="V662" s="5">
        <v>654.58453125739311</v>
      </c>
      <c r="W662" s="5">
        <v>628.74640736795357</v>
      </c>
      <c r="Y662" s="5">
        <v>504.14736881738799</v>
      </c>
    </row>
    <row r="663" spans="1:25">
      <c r="A663">
        <v>114.3</v>
      </c>
      <c r="B663">
        <v>2.56</v>
      </c>
      <c r="C663">
        <v>329</v>
      </c>
      <c r="D663">
        <v>46.763208585700767</v>
      </c>
      <c r="E663">
        <v>3.9895013123359582</v>
      </c>
      <c r="F663">
        <v>1043</v>
      </c>
      <c r="G663" s="35">
        <v>1004.555506138643</v>
      </c>
      <c r="H663" s="5">
        <v>560.43759431985086</v>
      </c>
      <c r="I663" s="5">
        <v>560.43773929302165</v>
      </c>
      <c r="J663" s="5">
        <v>560.4489306803348</v>
      </c>
      <c r="K663" s="5">
        <v>877.17363636363632</v>
      </c>
      <c r="L663" s="5">
        <v>934.05515517780975</v>
      </c>
      <c r="M663" s="5">
        <v>976.32495734039401</v>
      </c>
      <c r="N663" s="5">
        <v>1074.971030940759</v>
      </c>
      <c r="O663" s="5">
        <v>1095.9955823387149</v>
      </c>
      <c r="P663">
        <v>1062.7205563323409</v>
      </c>
      <c r="Q663" s="5">
        <v>1064.96887641534</v>
      </c>
      <c r="R663" s="5">
        <v>1134.796142578125</v>
      </c>
      <c r="S663" s="5">
        <v>1008.9827880859375</v>
      </c>
      <c r="T663" s="5">
        <v>966.37254527613572</v>
      </c>
      <c r="U663" s="5">
        <v>916.77586194541982</v>
      </c>
      <c r="V663" s="5">
        <v>792.33006071136754</v>
      </c>
      <c r="W663" s="5">
        <v>890.67988338063333</v>
      </c>
      <c r="X663" s="5">
        <v>825.79979740125953</v>
      </c>
      <c r="Y663" s="5">
        <v>701.5100672570303</v>
      </c>
    </row>
    <row r="664" spans="1:25">
      <c r="A664">
        <v>219</v>
      </c>
      <c r="B664">
        <v>4.72</v>
      </c>
      <c r="C664">
        <v>350</v>
      </c>
      <c r="D664">
        <v>41.9</v>
      </c>
      <c r="E664">
        <v>2.968036529680365</v>
      </c>
      <c r="F664">
        <v>3380</v>
      </c>
      <c r="G664" s="35">
        <v>3350</v>
      </c>
      <c r="H664" s="5">
        <v>4343.728307253672</v>
      </c>
      <c r="I664" s="5">
        <v>4343.7280535343561</v>
      </c>
      <c r="J664" s="5">
        <v>4343.7330453715495</v>
      </c>
      <c r="K664" s="5">
        <v>3142.636363636364</v>
      </c>
      <c r="L664" s="5">
        <v>3223.655373168498</v>
      </c>
      <c r="M664" s="5">
        <v>3348.948220064724</v>
      </c>
      <c r="N664" s="5">
        <v>3263.5416941499102</v>
      </c>
      <c r="O664" s="5">
        <v>3244.6609593934159</v>
      </c>
      <c r="P664">
        <v>3292.5487287145129</v>
      </c>
      <c r="Q664" s="5">
        <v>3149.9999999999982</v>
      </c>
      <c r="R664" s="5">
        <v>3331.5458984375</v>
      </c>
      <c r="S664" s="5">
        <v>3121.552490234375</v>
      </c>
      <c r="T664" s="5">
        <v>3140.4689052798994</v>
      </c>
      <c r="U664" s="5">
        <v>3246.7683223739837</v>
      </c>
      <c r="V664" s="5">
        <v>2819.2061637545694</v>
      </c>
      <c r="W664" s="5">
        <v>2980.3916034397284</v>
      </c>
      <c r="X664" s="5">
        <v>3044.0803145000559</v>
      </c>
      <c r="Y664" s="5">
        <v>2465.5871056188812</v>
      </c>
    </row>
    <row r="665" spans="1:25">
      <c r="A665">
        <v>174</v>
      </c>
      <c r="B665">
        <v>3</v>
      </c>
      <c r="C665">
        <v>265.95634799999999</v>
      </c>
      <c r="D665">
        <v>45.698988999999997</v>
      </c>
      <c r="E665">
        <v>2.068965517241379</v>
      </c>
      <c r="F665">
        <v>1676.937154897252</v>
      </c>
      <c r="G665" s="35">
        <v>1352.6816999590831</v>
      </c>
      <c r="H665" s="5">
        <v>2226.097809211089</v>
      </c>
      <c r="I665" s="5">
        <v>2226.0979321160362</v>
      </c>
      <c r="J665" s="5">
        <v>2226.1623292411091</v>
      </c>
      <c r="K665" s="5">
        <v>1325.5666666666671</v>
      </c>
      <c r="L665" s="5">
        <v>2032.6899585828751</v>
      </c>
      <c r="M665" s="5">
        <v>1877.9640069843749</v>
      </c>
      <c r="N665" s="5">
        <v>1678.0773523846251</v>
      </c>
      <c r="O665" s="5">
        <v>1803.274024763366</v>
      </c>
      <c r="P665">
        <v>1765.965583050275</v>
      </c>
      <c r="Q665" s="5">
        <v>2064.8966808548189</v>
      </c>
      <c r="R665" s="5">
        <v>1694.104125976562</v>
      </c>
      <c r="S665" s="5">
        <v>1561.452880859375</v>
      </c>
      <c r="T665" s="5">
        <v>1699.436082568091</v>
      </c>
      <c r="U665" s="5">
        <v>1707.3857034998857</v>
      </c>
      <c r="V665" s="5">
        <v>1451.8011898600553</v>
      </c>
      <c r="W665" s="5">
        <v>1455.5481024802657</v>
      </c>
      <c r="X665" s="5">
        <v>1686.9850557218449</v>
      </c>
      <c r="Y665" s="5">
        <v>1385.654523449776</v>
      </c>
    </row>
    <row r="666" spans="1:25">
      <c r="A666">
        <v>165</v>
      </c>
      <c r="B666">
        <v>4</v>
      </c>
      <c r="C666">
        <v>338</v>
      </c>
      <c r="D666">
        <v>49.777395755965507</v>
      </c>
      <c r="E666">
        <v>3.0303030303030298</v>
      </c>
      <c r="F666">
        <v>2773.4</v>
      </c>
      <c r="G666" s="35">
        <v>2768.5</v>
      </c>
      <c r="H666" s="5">
        <v>2580.52801844236</v>
      </c>
      <c r="I666" s="5">
        <v>2580.5280403372631</v>
      </c>
      <c r="J666" s="5">
        <v>2580.5424273342992</v>
      </c>
      <c r="K666" s="5">
        <v>2472.3230769230772</v>
      </c>
      <c r="L666" s="5">
        <v>2713.927933420136</v>
      </c>
      <c r="M666" s="5">
        <v>2761.9035459494521</v>
      </c>
      <c r="N666" s="5">
        <v>2457.706776534882</v>
      </c>
      <c r="O666" s="5">
        <v>2584.3216194416359</v>
      </c>
      <c r="P666">
        <v>2678.639835922806</v>
      </c>
      <c r="Q666" s="5">
        <v>2303.1559312906852</v>
      </c>
      <c r="R666" s="5">
        <v>2777.0947265625</v>
      </c>
      <c r="S666" s="5">
        <v>2353.84326171875</v>
      </c>
      <c r="T666" s="5">
        <v>2103.6438078962196</v>
      </c>
      <c r="U666" s="5">
        <v>2071.4700536083305</v>
      </c>
      <c r="V666" s="5">
        <v>1793.1424024005948</v>
      </c>
      <c r="W666" s="5">
        <v>1969.6925887337472</v>
      </c>
      <c r="X666" s="5">
        <v>1933.5958982376919</v>
      </c>
      <c r="Y666" s="5">
        <v>1586.055417708136</v>
      </c>
    </row>
    <row r="667" spans="1:25">
      <c r="A667">
        <v>150</v>
      </c>
      <c r="B667">
        <v>1.5</v>
      </c>
      <c r="C667">
        <v>222.7</v>
      </c>
      <c r="D667">
        <v>26.792000000000002</v>
      </c>
      <c r="E667">
        <v>3.06</v>
      </c>
      <c r="F667">
        <v>1024</v>
      </c>
      <c r="G667" s="35">
        <v>909.32591377551296</v>
      </c>
      <c r="H667" s="5">
        <v>586.28096107786905</v>
      </c>
      <c r="I667" s="5">
        <v>586.28110686972104</v>
      </c>
      <c r="J667" s="5">
        <v>586.35849132867111</v>
      </c>
      <c r="K667" s="5">
        <v>755.24</v>
      </c>
      <c r="L667" s="5">
        <v>854.75980386124252</v>
      </c>
      <c r="M667" s="5">
        <v>895.57640613592207</v>
      </c>
      <c r="N667" s="5">
        <v>939.55206853427876</v>
      </c>
      <c r="O667" s="5">
        <v>980.28495085806776</v>
      </c>
      <c r="P667">
        <v>874.70407253666178</v>
      </c>
      <c r="Q667" s="5">
        <v>810.23400646382959</v>
      </c>
      <c r="R667" s="5">
        <v>927.21484375</v>
      </c>
      <c r="S667" s="5">
        <v>985.3682861328125</v>
      </c>
      <c r="T667" s="5">
        <v>869.44093181963672</v>
      </c>
      <c r="U667" s="5">
        <v>707.1709056816054</v>
      </c>
      <c r="V667" s="5">
        <v>597.20875998967006</v>
      </c>
      <c r="W667" s="5">
        <v>613.61445441044896</v>
      </c>
      <c r="Y667" s="5">
        <v>583.43799795842995</v>
      </c>
    </row>
    <row r="668" spans="1:25">
      <c r="A668">
        <v>190.7</v>
      </c>
      <c r="B668">
        <v>6</v>
      </c>
      <c r="C668">
        <v>505</v>
      </c>
      <c r="D668">
        <v>55.9</v>
      </c>
      <c r="E668">
        <v>6.0304142632406927</v>
      </c>
      <c r="F668">
        <v>3064</v>
      </c>
      <c r="G668" s="35">
        <v>3063.4832158125901</v>
      </c>
      <c r="H668" s="5">
        <v>4873.0649068066768</v>
      </c>
      <c r="I668" s="5">
        <v>4873.0643205512824</v>
      </c>
      <c r="J668" s="5">
        <v>4872.9366088858369</v>
      </c>
      <c r="K668" s="5">
        <v>2958.2270356259241</v>
      </c>
      <c r="L668" s="5">
        <v>3142.0429860780309</v>
      </c>
      <c r="M668" s="5">
        <v>3062.6168039439249</v>
      </c>
      <c r="N668" s="5">
        <v>3019.3205759089128</v>
      </c>
      <c r="O668" s="5">
        <v>3186.2690850435351</v>
      </c>
      <c r="P668">
        <v>3078.9090915718002</v>
      </c>
      <c r="Q668" s="5">
        <v>3101.0667978373449</v>
      </c>
      <c r="R668" s="5">
        <v>3081.217529296875</v>
      </c>
      <c r="S668" s="5">
        <v>3039.068115234375</v>
      </c>
      <c r="T668" s="5">
        <v>3381.3440894461501</v>
      </c>
      <c r="U668" s="5">
        <v>4074.4183389929663</v>
      </c>
      <c r="V668" s="5">
        <v>3746.8175631209983</v>
      </c>
      <c r="W668" s="5">
        <v>3853.6007232325737</v>
      </c>
      <c r="Y668" s="5">
        <v>2970.917513726245</v>
      </c>
    </row>
    <row r="669" spans="1:25">
      <c r="A669">
        <v>108</v>
      </c>
      <c r="B669">
        <v>8</v>
      </c>
      <c r="C669">
        <v>351</v>
      </c>
      <c r="D669">
        <v>73.28</v>
      </c>
      <c r="E669">
        <v>3</v>
      </c>
      <c r="F669">
        <v>1889</v>
      </c>
      <c r="G669" s="35">
        <v>1874.727626459143</v>
      </c>
      <c r="H669" s="5">
        <v>2167.5984793478592</v>
      </c>
      <c r="I669" s="5">
        <v>2167.5989050779708</v>
      </c>
      <c r="J669" s="5">
        <v>2167.5793689826901</v>
      </c>
      <c r="K669" s="5">
        <v>1829.6324999999999</v>
      </c>
      <c r="L669" s="5">
        <v>1856.2185300340691</v>
      </c>
      <c r="M669" s="5">
        <v>1883.5873786407769</v>
      </c>
      <c r="N669" s="5">
        <v>1852.228168635897</v>
      </c>
      <c r="O669" s="5">
        <v>1885.0086538040109</v>
      </c>
      <c r="P669">
        <v>1864.9104984947251</v>
      </c>
      <c r="Q669" s="5">
        <v>1779.247247660277</v>
      </c>
      <c r="R669" s="5">
        <v>1897.903930664062</v>
      </c>
      <c r="S669" s="5">
        <v>1809.3265380859375</v>
      </c>
      <c r="T669" s="5">
        <v>1933.7353914641451</v>
      </c>
      <c r="U669" s="5">
        <v>1916.2347965774895</v>
      </c>
      <c r="V669" s="5">
        <v>1696.8798436557786</v>
      </c>
    </row>
    <row r="670" spans="1:25">
      <c r="A670">
        <v>121</v>
      </c>
      <c r="B670">
        <v>12</v>
      </c>
      <c r="C670">
        <v>294.1995</v>
      </c>
      <c r="D670">
        <v>10.093004179999999</v>
      </c>
      <c r="E670">
        <v>4.1322314049586772</v>
      </c>
      <c r="F670">
        <v>2417.3392320594889</v>
      </c>
      <c r="G670" s="35">
        <v>2373.2093069306138</v>
      </c>
      <c r="H670" s="5">
        <v>2720.5979465438022</v>
      </c>
      <c r="I670" s="5">
        <v>2720.5986573117998</v>
      </c>
      <c r="J670" s="5">
        <v>2720.5827723367029</v>
      </c>
      <c r="K670" s="5">
        <v>2353.2301586749072</v>
      </c>
      <c r="L670" s="5">
        <v>2406.5409727543351</v>
      </c>
      <c r="M670" s="5">
        <v>2373.2093069306029</v>
      </c>
      <c r="N670" s="5">
        <v>2306.9128290805688</v>
      </c>
      <c r="O670" s="5">
        <v>2356.3500037654981</v>
      </c>
      <c r="P670">
        <v>2337.4500041341712</v>
      </c>
      <c r="Q670" s="5">
        <v>2367.7398079371451</v>
      </c>
      <c r="R670" s="5">
        <v>2370.653076171875</v>
      </c>
      <c r="S670" s="5">
        <v>2307.452880859375</v>
      </c>
      <c r="T670" s="5">
        <v>2328.377870648726</v>
      </c>
      <c r="U670" s="5">
        <v>2033.0447456751326</v>
      </c>
      <c r="V670" s="5">
        <v>1841.2152272257656</v>
      </c>
    </row>
    <row r="671" spans="1:25">
      <c r="A671">
        <v>355.6</v>
      </c>
      <c r="B671">
        <v>7.98</v>
      </c>
      <c r="C671">
        <v>361</v>
      </c>
      <c r="D671">
        <v>23.8</v>
      </c>
      <c r="E671">
        <v>5.8577052868391446</v>
      </c>
      <c r="F671">
        <v>7433</v>
      </c>
      <c r="G671" s="35">
        <v>7189.7262778739914</v>
      </c>
      <c r="H671" s="5">
        <v>9569.7072730018554</v>
      </c>
      <c r="I671" s="5">
        <v>9569.7060848777001</v>
      </c>
      <c r="J671" s="5">
        <v>9569.6159585508376</v>
      </c>
      <c r="K671" s="5">
        <v>5027.1662153669286</v>
      </c>
      <c r="L671" s="5">
        <v>7082.8589223588506</v>
      </c>
      <c r="M671" s="5">
        <v>8125.4044742064088</v>
      </c>
      <c r="N671" s="5">
        <v>7436.6067915070244</v>
      </c>
      <c r="O671" s="5">
        <v>6135.3483515935723</v>
      </c>
      <c r="P671">
        <v>5614.7178902357809</v>
      </c>
      <c r="Q671" s="5">
        <v>6972.6282706021266</v>
      </c>
      <c r="R671" s="5">
        <v>7589.251953125</v>
      </c>
      <c r="S671" s="5">
        <v>7789.1044921875</v>
      </c>
      <c r="T671" s="5">
        <v>6831.717385965484</v>
      </c>
      <c r="U671" s="5">
        <v>7252.8672088399699</v>
      </c>
      <c r="V671" s="5">
        <v>6429.0998976190831</v>
      </c>
      <c r="W671" s="5">
        <v>6066.2099213430283</v>
      </c>
      <c r="Y671" s="5">
        <v>5062.1206102940014</v>
      </c>
    </row>
    <row r="672" spans="1:25">
      <c r="A672">
        <v>282</v>
      </c>
      <c r="B672">
        <v>4.3600000000000003</v>
      </c>
      <c r="C672">
        <v>322</v>
      </c>
      <c r="D672">
        <v>73.2</v>
      </c>
      <c r="E672">
        <v>2</v>
      </c>
      <c r="F672">
        <v>6380</v>
      </c>
      <c r="G672" s="35">
        <v>6860</v>
      </c>
      <c r="H672" s="5">
        <v>6719.8809384101896</v>
      </c>
      <c r="I672" s="5">
        <v>6719.8803454166691</v>
      </c>
      <c r="J672" s="5">
        <v>6719.8899609061791</v>
      </c>
      <c r="K672" s="5">
        <v>4778.5</v>
      </c>
      <c r="L672" s="5">
        <v>6268.7484027368482</v>
      </c>
      <c r="M672" s="5">
        <v>6860</v>
      </c>
      <c r="N672" s="5">
        <v>5716.8744113926441</v>
      </c>
      <c r="O672" s="5">
        <v>6587.6295006002538</v>
      </c>
      <c r="P672">
        <v>7112.4422870382123</v>
      </c>
      <c r="Q672" s="5">
        <v>6309.7902477719763</v>
      </c>
      <c r="R672" s="5">
        <v>6848.07080078125</v>
      </c>
      <c r="S672" s="5">
        <v>6558.10302734375</v>
      </c>
      <c r="T672" s="5">
        <v>6573.0587017891494</v>
      </c>
      <c r="U672" s="5">
        <v>6277.3120487445049</v>
      </c>
      <c r="V672" s="5">
        <v>5267.7124202719078</v>
      </c>
    </row>
    <row r="673" spans="1:25">
      <c r="A673">
        <v>63.5</v>
      </c>
      <c r="B673">
        <v>1.6</v>
      </c>
      <c r="C673">
        <v>250</v>
      </c>
      <c r="D673">
        <v>33.92</v>
      </c>
      <c r="E673">
        <v>5.5118110236220472</v>
      </c>
      <c r="F673">
        <v>164.95</v>
      </c>
      <c r="G673" s="35">
        <v>184.868889673251</v>
      </c>
      <c r="H673" s="5">
        <v>-1697.6280586958719</v>
      </c>
      <c r="I673" s="5">
        <v>-1697.6277413992921</v>
      </c>
      <c r="J673" s="5">
        <v>-1697.624804089146</v>
      </c>
      <c r="K673" s="5">
        <v>171.21625</v>
      </c>
      <c r="L673" s="5">
        <v>168.32998197146171</v>
      </c>
      <c r="M673" s="5">
        <v>171.6226213592231</v>
      </c>
      <c r="N673" s="5">
        <v>150.02445578699809</v>
      </c>
      <c r="O673" s="5">
        <v>160.14403887608549</v>
      </c>
      <c r="P673">
        <v>163.0414967514894</v>
      </c>
      <c r="Q673" s="5">
        <v>181.34</v>
      </c>
      <c r="R673" s="5">
        <v>166.80326843261719</v>
      </c>
      <c r="S673" s="5">
        <v>238.8861083984375</v>
      </c>
      <c r="T673" s="5">
        <v>242.11773732859646</v>
      </c>
      <c r="U673" s="5">
        <v>222.88105484426131</v>
      </c>
      <c r="V673" s="5">
        <v>193.75397420628769</v>
      </c>
      <c r="W673" s="5">
        <v>216.59206201097217</v>
      </c>
      <c r="X673" s="5">
        <v>191.02939469691049</v>
      </c>
      <c r="Y673" s="5">
        <v>166.366542460028</v>
      </c>
    </row>
    <row r="674" spans="1:25">
      <c r="A674">
        <v>250</v>
      </c>
      <c r="B674">
        <v>1.87</v>
      </c>
      <c r="C674">
        <v>282</v>
      </c>
      <c r="D674">
        <v>68.160000000000011</v>
      </c>
      <c r="E674">
        <v>3</v>
      </c>
      <c r="F674">
        <v>4102</v>
      </c>
      <c r="G674" s="35">
        <v>2254.75</v>
      </c>
      <c r="H674" s="5">
        <v>4777.1845247762158</v>
      </c>
      <c r="I674" s="5">
        <v>4777.1839092394439</v>
      </c>
      <c r="J674" s="5">
        <v>4777.1967947466201</v>
      </c>
      <c r="K674" s="5">
        <v>5279.375</v>
      </c>
      <c r="L674" s="5">
        <v>4600.5607286720433</v>
      </c>
      <c r="M674" s="5">
        <v>4376.068770226535</v>
      </c>
      <c r="N674" s="5">
        <v>4764.6523611050934</v>
      </c>
      <c r="O674" s="5">
        <v>4118.6732011989316</v>
      </c>
      <c r="P674">
        <v>4209.2869326945229</v>
      </c>
      <c r="Q674" s="5">
        <v>4720.0000000000036</v>
      </c>
      <c r="R674" s="5">
        <v>4096.17236328125</v>
      </c>
      <c r="S674" s="5">
        <v>2948.036376953125</v>
      </c>
      <c r="T674" s="5">
        <v>3730.4792164222977</v>
      </c>
      <c r="U674" s="5">
        <v>3912.3784053283916</v>
      </c>
      <c r="V674" s="5">
        <v>3213.1346645728413</v>
      </c>
      <c r="Y674" s="5">
        <v>2713.549394880718</v>
      </c>
    </row>
    <row r="675" spans="1:25">
      <c r="A675">
        <v>115</v>
      </c>
      <c r="B675">
        <v>3.9</v>
      </c>
      <c r="C675">
        <v>357.7</v>
      </c>
      <c r="D675">
        <v>50.742027883574579</v>
      </c>
      <c r="E675">
        <v>2.947826086956522</v>
      </c>
      <c r="F675">
        <v>1040</v>
      </c>
      <c r="G675" s="35">
        <v>1076.9045804476359</v>
      </c>
      <c r="H675" s="5">
        <v>1024.347166705106</v>
      </c>
      <c r="I675" s="5">
        <v>1024.3474683922821</v>
      </c>
      <c r="J675" s="5">
        <v>1024.3647558476171</v>
      </c>
      <c r="K675" s="5">
        <v>1122.75</v>
      </c>
      <c r="L675" s="5">
        <v>1165.4907508815249</v>
      </c>
      <c r="M675" s="5">
        <v>1126.293794627162</v>
      </c>
      <c r="N675" s="5">
        <v>1239.033600716318</v>
      </c>
      <c r="O675" s="5">
        <v>1192.819955169093</v>
      </c>
      <c r="P675">
        <v>1068.583381623476</v>
      </c>
      <c r="Q675" s="5">
        <v>1294.737187747427</v>
      </c>
      <c r="R675" s="5">
        <v>1169.184814453125</v>
      </c>
      <c r="S675" s="5">
        <v>1133.0628662109375</v>
      </c>
      <c r="T675" s="5">
        <v>1307.7982653850099</v>
      </c>
      <c r="U675" s="5">
        <v>1246.7727931618472</v>
      </c>
      <c r="V675" s="5">
        <v>1093.1304543314845</v>
      </c>
      <c r="W675" s="5">
        <v>1182.9609454157389</v>
      </c>
      <c r="X675" s="5">
        <v>1147.2234771326289</v>
      </c>
      <c r="Y675" s="5">
        <v>915.15182529207857</v>
      </c>
    </row>
    <row r="676" spans="1:25">
      <c r="A676">
        <v>57.15</v>
      </c>
      <c r="B676">
        <v>1.6</v>
      </c>
      <c r="C676">
        <v>250</v>
      </c>
      <c r="D676">
        <v>33.92</v>
      </c>
      <c r="E676">
        <v>6.1242344706911638</v>
      </c>
      <c r="F676">
        <v>139.22</v>
      </c>
      <c r="G676" s="35">
        <v>144.23711699005531</v>
      </c>
      <c r="H676" s="5">
        <v>-2016.448166005433</v>
      </c>
      <c r="I676" s="5">
        <v>-2016.44786883801</v>
      </c>
      <c r="J676" s="5">
        <v>-2016.44878780966</v>
      </c>
      <c r="K676" s="5">
        <v>180.41</v>
      </c>
      <c r="L676" s="5">
        <v>155.01005448717851</v>
      </c>
      <c r="M676" s="5">
        <v>146.51572815534001</v>
      </c>
      <c r="N676" s="5">
        <v>142.313214799809</v>
      </c>
      <c r="O676" s="5">
        <v>138.35801926161309</v>
      </c>
      <c r="P676">
        <v>136.08172520241371</v>
      </c>
      <c r="Q676" s="5">
        <v>164.95</v>
      </c>
      <c r="R676" s="5">
        <v>142.230224609375</v>
      </c>
      <c r="S676" s="5">
        <v>243.644287109375</v>
      </c>
      <c r="T676" s="5">
        <v>188.85260390962929</v>
      </c>
      <c r="U676" s="5">
        <v>190.62653041497006</v>
      </c>
      <c r="V676" s="5">
        <v>166.32050227120573</v>
      </c>
      <c r="W676" s="5">
        <v>184.11280553912778</v>
      </c>
      <c r="X676" s="5">
        <v>158.1640786465571</v>
      </c>
      <c r="Y676" s="5">
        <v>139.9947701819639</v>
      </c>
    </row>
    <row r="677" spans="1:25">
      <c r="A677">
        <v>112.56</v>
      </c>
      <c r="B677">
        <v>2.89</v>
      </c>
      <c r="C677">
        <v>360</v>
      </c>
      <c r="D677">
        <v>33.257864674434238</v>
      </c>
      <c r="E677">
        <v>3.020611229566454</v>
      </c>
      <c r="F677">
        <v>727</v>
      </c>
      <c r="G677" s="35">
        <v>763.46567343556262</v>
      </c>
      <c r="H677" s="5">
        <v>386.01531384781811</v>
      </c>
      <c r="I677" s="5">
        <v>386.01562305815469</v>
      </c>
      <c r="J677" s="5">
        <v>386.05497199154019</v>
      </c>
      <c r="K677" s="5">
        <v>805.9</v>
      </c>
      <c r="L677" s="5">
        <v>768.22250370601148</v>
      </c>
      <c r="M677" s="5">
        <v>765.57767005109235</v>
      </c>
      <c r="N677" s="5">
        <v>794.1200681043963</v>
      </c>
      <c r="O677" s="5">
        <v>786.40372126483214</v>
      </c>
      <c r="P677">
        <v>757.4296349604673</v>
      </c>
      <c r="Q677" s="5">
        <v>826.23610717740803</v>
      </c>
      <c r="R677" s="5">
        <v>800.01263427734375</v>
      </c>
      <c r="S677" s="5">
        <v>782.9588623046875</v>
      </c>
      <c r="T677" s="5">
        <v>947.20382822616489</v>
      </c>
      <c r="U677" s="5">
        <v>878.52867540494344</v>
      </c>
      <c r="V677" s="5">
        <v>773.97740369883991</v>
      </c>
      <c r="W677" s="5">
        <v>806.615463153208</v>
      </c>
      <c r="X677" s="5">
        <v>814.26729081251631</v>
      </c>
      <c r="Y677" s="5">
        <v>636.71359769406206</v>
      </c>
    </row>
    <row r="678" spans="1:25">
      <c r="A678">
        <v>135</v>
      </c>
      <c r="B678">
        <v>1.46</v>
      </c>
      <c r="C678">
        <v>222.7</v>
      </c>
      <c r="D678">
        <v>26.792000000000002</v>
      </c>
      <c r="E678">
        <v>3.088888888888889</v>
      </c>
      <c r="F678">
        <v>800</v>
      </c>
      <c r="G678" s="35">
        <v>966.27899480060796</v>
      </c>
      <c r="H678" s="5">
        <v>10.488374500583181</v>
      </c>
      <c r="I678" s="5">
        <v>10.488672003819371</v>
      </c>
      <c r="J678" s="5">
        <v>10.573060512128</v>
      </c>
      <c r="K678" s="5">
        <v>664.47142857142865</v>
      </c>
      <c r="L678" s="5">
        <v>825.86946699738394</v>
      </c>
      <c r="M678" s="5">
        <v>764.77524271844641</v>
      </c>
      <c r="N678" s="5">
        <v>749.31286624590234</v>
      </c>
      <c r="O678" s="5">
        <v>774.38374865621972</v>
      </c>
      <c r="P678">
        <v>733.8601922641185</v>
      </c>
      <c r="Q678" s="5">
        <v>755.54584673257978</v>
      </c>
      <c r="R678" s="5">
        <v>709.14990234375</v>
      </c>
      <c r="S678" s="5">
        <v>815.249267578125</v>
      </c>
      <c r="T678" s="5">
        <v>749.99769587441028</v>
      </c>
      <c r="U678" s="5">
        <v>588.06526059551516</v>
      </c>
      <c r="V678" s="5">
        <v>497.97554560202292</v>
      </c>
      <c r="W678" s="5">
        <v>514.5111080903464</v>
      </c>
      <c r="Y678" s="5">
        <v>481.56112601676182</v>
      </c>
    </row>
    <row r="679" spans="1:25">
      <c r="A679">
        <v>100</v>
      </c>
      <c r="B679">
        <v>2.5</v>
      </c>
      <c r="C679">
        <v>244.02</v>
      </c>
      <c r="D679">
        <v>43.4</v>
      </c>
      <c r="E679">
        <v>6</v>
      </c>
      <c r="F679">
        <v>686</v>
      </c>
      <c r="G679" s="35">
        <v>453.69224382597758</v>
      </c>
      <c r="H679" s="5">
        <v>-225.8102550272292</v>
      </c>
      <c r="I679" s="5">
        <v>-225.8101696338604</v>
      </c>
      <c r="J679" s="5">
        <v>-225.82334587643439</v>
      </c>
      <c r="K679" s="5">
        <v>804.39</v>
      </c>
      <c r="L679" s="5">
        <v>745.49484594814533</v>
      </c>
      <c r="M679" s="5">
        <v>687.53474220590601</v>
      </c>
      <c r="N679" s="5">
        <v>705.01450695614858</v>
      </c>
      <c r="O679" s="5">
        <v>667.88120240589967</v>
      </c>
      <c r="P679">
        <v>603.61205578206329</v>
      </c>
      <c r="Q679" s="5">
        <v>619.03481834309923</v>
      </c>
      <c r="R679" s="5">
        <v>728.89300537109375</v>
      </c>
      <c r="S679" s="5">
        <v>576.473876953125</v>
      </c>
      <c r="T679" s="5">
        <v>608.06535421996136</v>
      </c>
      <c r="U679" s="5">
        <v>610.34437173536105</v>
      </c>
      <c r="V679" s="5">
        <v>525.39667625754942</v>
      </c>
      <c r="W679" s="5">
        <v>606.08887832591131</v>
      </c>
      <c r="X679" s="5">
        <v>518.15605325451872</v>
      </c>
      <c r="Y679" s="5">
        <v>466.48927287728992</v>
      </c>
    </row>
    <row r="680" spans="1:25">
      <c r="A680">
        <v>96</v>
      </c>
      <c r="B680">
        <v>5</v>
      </c>
      <c r="C680">
        <v>410.6</v>
      </c>
      <c r="D680">
        <v>39.53</v>
      </c>
      <c r="E680">
        <v>4.166666666666667</v>
      </c>
      <c r="F680">
        <v>1073</v>
      </c>
      <c r="G680" s="35">
        <v>1173.5</v>
      </c>
      <c r="H680" s="5">
        <v>751.87378525491113</v>
      </c>
      <c r="I680" s="5">
        <v>751.8740983869186</v>
      </c>
      <c r="J680" s="5">
        <v>751.85906830734211</v>
      </c>
      <c r="K680" s="5">
        <v>1130.97516879609</v>
      </c>
      <c r="L680" s="5">
        <v>1165.29224794586</v>
      </c>
      <c r="M680" s="5">
        <v>1172.2018793759171</v>
      </c>
      <c r="N680" s="5">
        <v>1152.5331702372009</v>
      </c>
      <c r="O680" s="5">
        <v>1163.1821448027799</v>
      </c>
      <c r="P680">
        <v>1179.261780184233</v>
      </c>
      <c r="Q680" s="5">
        <v>1056.9150343408239</v>
      </c>
      <c r="R680" s="5">
        <v>1171.468994140625</v>
      </c>
      <c r="S680" s="5">
        <v>1161.7852783203125</v>
      </c>
      <c r="T680" s="5">
        <v>1165.7403881024197</v>
      </c>
      <c r="U680" s="5">
        <v>1180.4353125967536</v>
      </c>
      <c r="V680" s="5">
        <v>1057.032271979313</v>
      </c>
      <c r="W680" s="5">
        <v>1024.1159867054116</v>
      </c>
      <c r="X680" s="5">
        <v>968.39975520099961</v>
      </c>
      <c r="Y680" s="5">
        <v>793.20805296353569</v>
      </c>
    </row>
    <row r="681" spans="1:25">
      <c r="A681">
        <v>131</v>
      </c>
      <c r="B681">
        <v>4</v>
      </c>
      <c r="C681">
        <v>306</v>
      </c>
      <c r="D681">
        <v>49.92</v>
      </c>
      <c r="E681">
        <v>3</v>
      </c>
      <c r="F681">
        <v>1389</v>
      </c>
      <c r="G681" s="35">
        <v>1371.925440393281</v>
      </c>
      <c r="H681" s="5">
        <v>1335.722981058999</v>
      </c>
      <c r="I681" s="5">
        <v>1335.7232099671321</v>
      </c>
      <c r="J681" s="5">
        <v>1335.7531894025039</v>
      </c>
      <c r="K681" s="5">
        <v>1411.8571428571429</v>
      </c>
      <c r="L681" s="5">
        <v>1361.07776379043</v>
      </c>
      <c r="M681" s="5">
        <v>1378.9424385323409</v>
      </c>
      <c r="N681" s="5">
        <v>1412.2653744026061</v>
      </c>
      <c r="O681" s="5">
        <v>1407.088714665839</v>
      </c>
      <c r="P681">
        <v>1389.2655303360871</v>
      </c>
      <c r="Q681" s="5">
        <v>1417.2442789178781</v>
      </c>
      <c r="R681" s="5">
        <v>1513.19921875</v>
      </c>
      <c r="S681" s="5">
        <v>1423.4276123046875</v>
      </c>
      <c r="T681" s="5">
        <v>1451.918974157516</v>
      </c>
      <c r="U681" s="5">
        <v>1384.2978151975431</v>
      </c>
      <c r="V681" s="5">
        <v>1203.8264110860316</v>
      </c>
      <c r="W681" s="5">
        <v>1329.9793694752123</v>
      </c>
      <c r="X681" s="5">
        <v>1290.0191457605099</v>
      </c>
      <c r="Y681" s="5">
        <v>1044.215892368371</v>
      </c>
    </row>
    <row r="682" spans="1:25">
      <c r="A682">
        <v>114.3</v>
      </c>
      <c r="B682">
        <v>2.74</v>
      </c>
      <c r="C682">
        <v>235</v>
      </c>
      <c r="D682">
        <v>66.75</v>
      </c>
      <c r="E682">
        <v>5.2493438320209984</v>
      </c>
      <c r="F682">
        <v>1031.92</v>
      </c>
      <c r="G682" s="35">
        <v>999.58372617446707</v>
      </c>
      <c r="H682" s="5">
        <v>713.68810527538517</v>
      </c>
      <c r="I682" s="5">
        <v>713.68809301389024</v>
      </c>
      <c r="J682" s="5">
        <v>713.66999374690431</v>
      </c>
      <c r="K682" s="5">
        <v>936.42714285714283</v>
      </c>
      <c r="L682" s="5">
        <v>993.49378885072792</v>
      </c>
      <c r="M682" s="5">
        <v>1010.085156827903</v>
      </c>
      <c r="N682" s="5">
        <v>1154.945437325963</v>
      </c>
      <c r="O682" s="5">
        <v>1070.502535036364</v>
      </c>
      <c r="P682">
        <v>1083.6012338091291</v>
      </c>
      <c r="Q682" s="5">
        <v>1106.174025531664</v>
      </c>
      <c r="R682" s="5">
        <v>1079.906860351562</v>
      </c>
      <c r="S682" s="5">
        <v>892.8203125</v>
      </c>
      <c r="T682" s="5">
        <v>971.22498251367165</v>
      </c>
      <c r="U682" s="5">
        <v>986.39774755129474</v>
      </c>
      <c r="V682" s="5">
        <v>834.00203962050182</v>
      </c>
      <c r="Y682" s="5">
        <v>795.07152995656259</v>
      </c>
    </row>
    <row r="683" spans="1:25">
      <c r="A683">
        <v>133</v>
      </c>
      <c r="B683">
        <v>5</v>
      </c>
      <c r="C683">
        <v>306</v>
      </c>
      <c r="D683">
        <v>45.04</v>
      </c>
      <c r="E683">
        <v>3</v>
      </c>
      <c r="F683">
        <v>1518</v>
      </c>
      <c r="G683" s="35">
        <v>1504.9677419354839</v>
      </c>
      <c r="H683" s="5">
        <v>1583.3460583979979</v>
      </c>
      <c r="I683" s="5">
        <v>1583.346339192562</v>
      </c>
      <c r="J683" s="5">
        <v>1583.3740967777369</v>
      </c>
      <c r="K683" s="5">
        <v>1481.285714285714</v>
      </c>
      <c r="L683" s="5">
        <v>1507.777806180831</v>
      </c>
      <c r="M683" s="5">
        <v>1501.2359762675301</v>
      </c>
      <c r="N683" s="5">
        <v>1610.2412309247829</v>
      </c>
      <c r="O683" s="5">
        <v>1569.0092227811781</v>
      </c>
      <c r="P683">
        <v>1512.399752886424</v>
      </c>
      <c r="Q683" s="5">
        <v>1535.7756740658899</v>
      </c>
      <c r="R683" s="5">
        <v>1567.592163085938</v>
      </c>
      <c r="S683" s="5">
        <v>1491.2989501953125</v>
      </c>
      <c r="T683" s="5">
        <v>1571.6906073793932</v>
      </c>
      <c r="U683" s="5">
        <v>1531.8824867363821</v>
      </c>
      <c r="V683" s="5">
        <v>1345.8981405508032</v>
      </c>
      <c r="W683" s="5">
        <v>1433.2777305194559</v>
      </c>
      <c r="X683" s="5">
        <v>1413.2681001606329</v>
      </c>
      <c r="Y683" s="5">
        <v>1116.203978727063</v>
      </c>
    </row>
    <row r="684" spans="1:25">
      <c r="A684">
        <v>112.56</v>
      </c>
      <c r="B684">
        <v>2.89</v>
      </c>
      <c r="C684">
        <v>360</v>
      </c>
      <c r="D684">
        <v>17.862792040136021</v>
      </c>
      <c r="E684">
        <v>3.020611229566454</v>
      </c>
      <c r="F684">
        <v>674</v>
      </c>
      <c r="G684" s="35">
        <v>661.78958001879323</v>
      </c>
      <c r="H684" s="5">
        <v>117.2777808517326</v>
      </c>
      <c r="I684" s="5">
        <v>117.27815311246199</v>
      </c>
      <c r="J684" s="5">
        <v>117.33342691007461</v>
      </c>
      <c r="K684" s="5">
        <v>676</v>
      </c>
      <c r="L684" s="5">
        <v>674.29744318181827</v>
      </c>
      <c r="M684" s="5">
        <v>659.38215599495163</v>
      </c>
      <c r="N684" s="5">
        <v>698.89545237417508</v>
      </c>
      <c r="O684" s="5">
        <v>701.17644688668202</v>
      </c>
      <c r="P684">
        <v>711.85224787849188</v>
      </c>
      <c r="Q684" s="5">
        <v>767.96799735318768</v>
      </c>
      <c r="R684" s="5">
        <v>674.02972412109375</v>
      </c>
      <c r="S684" s="5">
        <v>659.0797119140625</v>
      </c>
      <c r="T684" s="5">
        <v>806.79824852782747</v>
      </c>
      <c r="U684" s="5">
        <v>740.66449076050196</v>
      </c>
      <c r="V684" s="5">
        <v>663.68605598328679</v>
      </c>
      <c r="W684" s="5">
        <v>616.69654100991386</v>
      </c>
    </row>
    <row r="685" spans="1:25">
      <c r="A685">
        <v>96</v>
      </c>
      <c r="B685">
        <v>5</v>
      </c>
      <c r="C685">
        <v>410.6</v>
      </c>
      <c r="D685">
        <v>28.45</v>
      </c>
      <c r="E685">
        <v>4.6875</v>
      </c>
      <c r="F685">
        <v>1166</v>
      </c>
      <c r="G685" s="35">
        <v>1044</v>
      </c>
      <c r="H685" s="5">
        <v>611.12557731676884</v>
      </c>
      <c r="I685" s="5">
        <v>611.12585772060288</v>
      </c>
      <c r="J685" s="5">
        <v>611.09956683943619</v>
      </c>
      <c r="K685" s="5">
        <v>1039.782494715369</v>
      </c>
      <c r="L685" s="5">
        <v>1069.7530468661871</v>
      </c>
      <c r="M685" s="5">
        <v>1049.311927435394</v>
      </c>
      <c r="N685" s="5">
        <v>1086.725994121731</v>
      </c>
      <c r="O685" s="5">
        <v>1092.1591367833951</v>
      </c>
      <c r="P685">
        <v>1077.6798871440101</v>
      </c>
      <c r="Q685" s="5">
        <v>1024.874039585241</v>
      </c>
      <c r="R685" s="5">
        <v>1047.64794921875</v>
      </c>
      <c r="S685" s="5">
        <v>1148.9132080078125</v>
      </c>
      <c r="T685" s="5">
        <v>1078.7446904967217</v>
      </c>
      <c r="U685" s="5">
        <v>1116.0737552300718</v>
      </c>
      <c r="V685" s="5">
        <v>1005.5430260859678</v>
      </c>
      <c r="W685" s="5">
        <v>924.14949057187516</v>
      </c>
      <c r="X685" s="5">
        <v>881.03767878201438</v>
      </c>
      <c r="Y685" s="5">
        <v>730.73995918408502</v>
      </c>
    </row>
    <row r="686" spans="1:25">
      <c r="A686">
        <v>89.32</v>
      </c>
      <c r="B686">
        <v>2.74</v>
      </c>
      <c r="C686">
        <v>360</v>
      </c>
      <c r="D686">
        <v>35.061137668994363</v>
      </c>
      <c r="E686">
        <v>3.8065382892969102</v>
      </c>
      <c r="F686">
        <v>620</v>
      </c>
      <c r="G686" s="35">
        <v>604.17525045724426</v>
      </c>
      <c r="H686" s="5">
        <v>-339.54247651821288</v>
      </c>
      <c r="I686" s="5">
        <v>-339.54213490410979</v>
      </c>
      <c r="J686" s="5">
        <v>-339.52024860050318</v>
      </c>
      <c r="K686" s="5">
        <v>741.50413240674413</v>
      </c>
      <c r="L686" s="5">
        <v>613.71978819218691</v>
      </c>
      <c r="M686" s="5">
        <v>637.39287793055541</v>
      </c>
      <c r="N686" s="5">
        <v>584.50998023667989</v>
      </c>
      <c r="O686" s="5">
        <v>614.65717439781122</v>
      </c>
      <c r="P686">
        <v>582.90819527060614</v>
      </c>
      <c r="Q686" s="5">
        <v>626.10281280759477</v>
      </c>
      <c r="R686" s="5">
        <v>652.79095458984375</v>
      </c>
      <c r="S686" s="5">
        <v>598.504638671875</v>
      </c>
      <c r="T686" s="5">
        <v>684.35726094268148</v>
      </c>
      <c r="U686" s="5">
        <v>628.20709790582191</v>
      </c>
      <c r="V686" s="5">
        <v>555.5119907893968</v>
      </c>
      <c r="W686" s="5">
        <v>577.1745309793323</v>
      </c>
      <c r="X686" s="5">
        <v>553.82419794697159</v>
      </c>
      <c r="Y686" s="5">
        <v>447.05253786865512</v>
      </c>
    </row>
    <row r="687" spans="1:25">
      <c r="A687">
        <v>393</v>
      </c>
      <c r="B687">
        <v>9.3800000000000008</v>
      </c>
      <c r="C687">
        <v>312</v>
      </c>
      <c r="D687">
        <v>73.2</v>
      </c>
      <c r="E687">
        <v>2</v>
      </c>
      <c r="F687">
        <v>14161</v>
      </c>
      <c r="G687" s="35">
        <v>14406</v>
      </c>
      <c r="H687" s="5">
        <v>11675.269279834791</v>
      </c>
      <c r="I687" s="5">
        <v>11675.26826040768</v>
      </c>
      <c r="J687" s="5">
        <v>11675.225438484211</v>
      </c>
      <c r="K687" s="5">
        <v>10726.857142857139</v>
      </c>
      <c r="L687" s="5">
        <v>12733.712371248619</v>
      </c>
      <c r="M687" s="5">
        <v>14406</v>
      </c>
      <c r="N687" s="5">
        <v>16917.372211038932</v>
      </c>
      <c r="O687" s="5">
        <v>14392.13884783695</v>
      </c>
      <c r="P687">
        <v>14502.133325233741</v>
      </c>
      <c r="Q687" s="5">
        <v>14406</v>
      </c>
      <c r="R687" s="5">
        <v>14402.81640625</v>
      </c>
      <c r="S687" s="5">
        <v>14087.01953125</v>
      </c>
      <c r="T687" s="5">
        <v>13975.437234036706</v>
      </c>
      <c r="U687" s="5">
        <v>13765.736204668126</v>
      </c>
      <c r="V687" s="5">
        <v>11714.162930736473</v>
      </c>
    </row>
    <row r="688" spans="1:25">
      <c r="A688">
        <v>75.84</v>
      </c>
      <c r="B688">
        <v>2.99</v>
      </c>
      <c r="C688">
        <v>278</v>
      </c>
      <c r="D688">
        <v>145</v>
      </c>
      <c r="E688">
        <v>3.9556962025316449</v>
      </c>
      <c r="F688">
        <v>796</v>
      </c>
      <c r="G688" s="35">
        <v>800.22152976443999</v>
      </c>
      <c r="H688" s="5">
        <v>990.8060061905494</v>
      </c>
      <c r="I688" s="5">
        <v>990.80610760961599</v>
      </c>
      <c r="J688" s="5">
        <v>990.75335633013128</v>
      </c>
      <c r="K688" s="5">
        <v>1053.272857142857</v>
      </c>
      <c r="L688" s="5">
        <v>724.55675732766065</v>
      </c>
      <c r="M688" s="5">
        <v>807.10679611650482</v>
      </c>
      <c r="N688" s="5">
        <v>697.56830290953906</v>
      </c>
      <c r="O688" s="5">
        <v>626.17996365591944</v>
      </c>
      <c r="P688">
        <v>672.88970617106804</v>
      </c>
      <c r="Q688" s="5">
        <v>754.18916653499957</v>
      </c>
      <c r="R688" s="5">
        <v>428.46426391601563</v>
      </c>
      <c r="S688" s="5">
        <v>715.5709228515625</v>
      </c>
      <c r="T688" s="5">
        <v>805.61236926096012</v>
      </c>
      <c r="U688" s="5">
        <v>829.73707334839764</v>
      </c>
      <c r="V688" s="5">
        <v>728.32386129840984</v>
      </c>
    </row>
    <row r="689" spans="1:25">
      <c r="A689">
        <v>159</v>
      </c>
      <c r="B689">
        <v>3</v>
      </c>
      <c r="C689">
        <v>336.28</v>
      </c>
      <c r="D689">
        <v>33.39</v>
      </c>
      <c r="E689">
        <v>1.8867924528301889</v>
      </c>
      <c r="F689">
        <v>1185.7</v>
      </c>
      <c r="G689" s="35">
        <v>1318.8144224177049</v>
      </c>
      <c r="H689" s="5">
        <v>1701.434289055112</v>
      </c>
      <c r="I689" s="5">
        <v>1701.4344821308191</v>
      </c>
      <c r="J689" s="5">
        <v>1701.50202760248</v>
      </c>
      <c r="K689" s="5">
        <v>1466.2898579289561</v>
      </c>
      <c r="L689" s="5">
        <v>1453.531016242493</v>
      </c>
      <c r="M689" s="5">
        <v>1461.864544472395</v>
      </c>
      <c r="N689" s="5">
        <v>1523.818941904093</v>
      </c>
      <c r="O689" s="5">
        <v>1317.5086622678371</v>
      </c>
      <c r="P689">
        <v>1464.7351868187179</v>
      </c>
      <c r="Q689" s="5">
        <v>1410.8555503903631</v>
      </c>
      <c r="R689" s="5">
        <v>1473.988525390625</v>
      </c>
      <c r="S689" s="5">
        <v>1235.330078125</v>
      </c>
      <c r="T689" s="5">
        <v>1397.4176788405553</v>
      </c>
      <c r="U689" s="5">
        <v>1414.8497795634403</v>
      </c>
      <c r="V689" s="5">
        <v>1230.7804350649526</v>
      </c>
      <c r="W689" s="5">
        <v>1170.7618653798449</v>
      </c>
      <c r="X689" s="5">
        <v>1407.356139201426</v>
      </c>
      <c r="Y689" s="5">
        <v>1074.421069349092</v>
      </c>
    </row>
    <row r="690" spans="1:25">
      <c r="A690">
        <v>165</v>
      </c>
      <c r="B690">
        <v>4</v>
      </c>
      <c r="C690">
        <v>338</v>
      </c>
      <c r="D690">
        <v>49.777395755965507</v>
      </c>
      <c r="E690">
        <v>3.0303030303030298</v>
      </c>
      <c r="F690">
        <v>2832.2</v>
      </c>
      <c r="G690" s="35">
        <v>2739.1</v>
      </c>
      <c r="H690" s="5">
        <v>2491.8083892112359</v>
      </c>
      <c r="I690" s="5">
        <v>2491.8084259425232</v>
      </c>
      <c r="J690" s="5">
        <v>2491.8261556757188</v>
      </c>
      <c r="K690" s="5">
        <v>2436.1083333333331</v>
      </c>
      <c r="L690" s="5">
        <v>2718.1002397751308</v>
      </c>
      <c r="M690" s="5">
        <v>2733.5562434652629</v>
      </c>
      <c r="N690" s="5">
        <v>2403.995488351673</v>
      </c>
      <c r="O690" s="5">
        <v>2600.2591694463199</v>
      </c>
      <c r="P690">
        <v>2629.9766283189392</v>
      </c>
      <c r="Q690" s="5">
        <v>2207.2677950124021</v>
      </c>
      <c r="R690" s="5">
        <v>2728.961669921875</v>
      </c>
      <c r="S690" s="5">
        <v>2350.30517578125</v>
      </c>
      <c r="T690" s="5">
        <v>2103.6438078962196</v>
      </c>
      <c r="U690" s="5">
        <v>2071.4700536083305</v>
      </c>
      <c r="V690" s="5">
        <v>1793.1424024005948</v>
      </c>
      <c r="W690" s="5">
        <v>1969.6925887337472</v>
      </c>
      <c r="X690" s="5">
        <v>1933.5958982376919</v>
      </c>
      <c r="Y690" s="5">
        <v>1586.055417708136</v>
      </c>
    </row>
    <row r="691" spans="1:25">
      <c r="A691">
        <v>1020</v>
      </c>
      <c r="B691">
        <v>13.25</v>
      </c>
      <c r="C691">
        <v>368.7</v>
      </c>
      <c r="D691">
        <v>28.9</v>
      </c>
      <c r="E691">
        <v>3</v>
      </c>
      <c r="F691">
        <v>46000</v>
      </c>
      <c r="G691" s="35">
        <v>25140.999735178731</v>
      </c>
      <c r="H691" s="5">
        <v>31824.48071295342</v>
      </c>
      <c r="I691" s="5">
        <v>31824.47623003367</v>
      </c>
      <c r="J691" s="5">
        <v>31824.52080147382</v>
      </c>
      <c r="K691" s="5">
        <v>24381.571428571431</v>
      </c>
      <c r="L691" s="5">
        <v>28570.900945512822</v>
      </c>
      <c r="M691" s="5">
        <v>30851.065533980582</v>
      </c>
      <c r="N691" s="5">
        <v>24129.850851255102</v>
      </c>
      <c r="O691" s="5">
        <v>41731.456454725798</v>
      </c>
      <c r="P691">
        <v>38295.481841846282</v>
      </c>
      <c r="Q691" s="5">
        <v>33600.000000000007</v>
      </c>
      <c r="R691" s="5">
        <v>35944.58203125</v>
      </c>
      <c r="S691" s="5">
        <v>39300.54296875</v>
      </c>
      <c r="T691" s="5">
        <v>44135.884747576012</v>
      </c>
      <c r="U691" s="5">
        <v>47434.738579426143</v>
      </c>
      <c r="V691" s="5">
        <v>41058.284909385438</v>
      </c>
      <c r="W691" s="5">
        <v>37727.231990097978</v>
      </c>
      <c r="Y691" s="5">
        <v>36436.9778305988</v>
      </c>
    </row>
    <row r="692" spans="1:25">
      <c r="A692">
        <v>178</v>
      </c>
      <c r="B692">
        <v>9</v>
      </c>
      <c r="C692">
        <v>283.31411850000001</v>
      </c>
      <c r="D692">
        <v>22.163029000000002</v>
      </c>
      <c r="E692">
        <v>2.02247191011236</v>
      </c>
      <c r="F692">
        <v>2922.3817085343921</v>
      </c>
      <c r="G692" s="35">
        <v>2853.73515833392</v>
      </c>
      <c r="H692" s="5">
        <v>3633.7938942776609</v>
      </c>
      <c r="I692" s="5">
        <v>3633.794347320325</v>
      </c>
      <c r="J692" s="5">
        <v>3633.8469911935772</v>
      </c>
      <c r="K692" s="5">
        <v>2370.5632792658939</v>
      </c>
      <c r="L692" s="5">
        <v>2877.2381807529641</v>
      </c>
      <c r="M692" s="5">
        <v>2853.7351583339141</v>
      </c>
      <c r="N692" s="5">
        <v>2844.467842086915</v>
      </c>
      <c r="O692" s="5">
        <v>2744.371314496952</v>
      </c>
      <c r="P692">
        <v>2996.8527846286038</v>
      </c>
      <c r="Q692" s="5">
        <v>2741.9295261696529</v>
      </c>
      <c r="R692" s="5">
        <v>2848.6767578125</v>
      </c>
      <c r="S692" s="5">
        <v>3547.362060546875</v>
      </c>
      <c r="T692" s="5">
        <v>3024.9481807211655</v>
      </c>
      <c r="U692" s="5">
        <v>2638.7337507368384</v>
      </c>
      <c r="V692" s="5">
        <v>2371.4443690054336</v>
      </c>
      <c r="W692" s="5">
        <v>2200.2710241607074</v>
      </c>
      <c r="Y692" s="5">
        <v>1772.8431933742111</v>
      </c>
    </row>
    <row r="693" spans="1:25">
      <c r="A693">
        <v>101.9</v>
      </c>
      <c r="B693">
        <v>3.03</v>
      </c>
      <c r="C693">
        <v>371</v>
      </c>
      <c r="D693">
        <v>51.3</v>
      </c>
      <c r="E693">
        <v>2.993130520117762</v>
      </c>
      <c r="F693">
        <v>877</v>
      </c>
      <c r="G693" s="35">
        <v>926</v>
      </c>
      <c r="H693" s="5">
        <v>451.42765096005678</v>
      </c>
      <c r="I693" s="5">
        <v>451.42796265795459</v>
      </c>
      <c r="J693" s="5">
        <v>451.43805861015738</v>
      </c>
      <c r="K693" s="5">
        <v>818.38461538461536</v>
      </c>
      <c r="L693" s="5">
        <v>880.90173323667034</v>
      </c>
      <c r="M693" s="5">
        <v>923.74278453221541</v>
      </c>
      <c r="N693" s="5">
        <v>849.69456215689195</v>
      </c>
      <c r="O693" s="5">
        <v>861.23774071226842</v>
      </c>
      <c r="P693">
        <v>875.25477512131681</v>
      </c>
      <c r="Q693" s="5">
        <v>823.97064148805032</v>
      </c>
      <c r="R693" s="5">
        <v>917.51123046875</v>
      </c>
      <c r="S693" s="5">
        <v>827.347900390625</v>
      </c>
      <c r="T693" s="5">
        <v>1012.0720985408065</v>
      </c>
      <c r="U693" s="5">
        <v>935.73208018434309</v>
      </c>
      <c r="V693" s="5">
        <v>817.567109675388</v>
      </c>
      <c r="W693" s="5">
        <v>901.24169522206944</v>
      </c>
      <c r="X693" s="5">
        <v>862.3150426607159</v>
      </c>
      <c r="Y693" s="5">
        <v>695.09117544687842</v>
      </c>
    </row>
    <row r="694" spans="1:25">
      <c r="A694">
        <v>115.9</v>
      </c>
      <c r="B694">
        <v>4.9000000000000004</v>
      </c>
      <c r="C694">
        <v>309.5</v>
      </c>
      <c r="D694">
        <v>42.7</v>
      </c>
      <c r="E694">
        <v>3.0802415875754958</v>
      </c>
      <c r="F694">
        <v>1140</v>
      </c>
      <c r="G694" s="35">
        <v>1210.6055517683819</v>
      </c>
      <c r="H694" s="5">
        <v>1043.40714283341</v>
      </c>
      <c r="I694" s="5">
        <v>1043.407529632959</v>
      </c>
      <c r="J694" s="5">
        <v>1043.4349636149871</v>
      </c>
      <c r="K694" s="5">
        <v>1104.8307007064259</v>
      </c>
      <c r="L694" s="5">
        <v>1157.301727172769</v>
      </c>
      <c r="M694" s="5">
        <v>1232.3259391715801</v>
      </c>
      <c r="N694" s="5">
        <v>1272.2945504760489</v>
      </c>
      <c r="O694" s="5">
        <v>1246.609125564391</v>
      </c>
      <c r="P694">
        <v>1253.0307929896751</v>
      </c>
      <c r="Q694" s="5">
        <v>1230.550565811576</v>
      </c>
      <c r="R694" s="5">
        <v>1213.340209960938</v>
      </c>
      <c r="S694" s="5">
        <v>1211.07177734375</v>
      </c>
      <c r="T694" s="5">
        <v>1285.97473651052</v>
      </c>
      <c r="U694" s="5">
        <v>1234.2586730817241</v>
      </c>
      <c r="V694" s="5">
        <v>1090.2781856712563</v>
      </c>
      <c r="W694" s="5">
        <v>1140.9698577749632</v>
      </c>
      <c r="X694" s="5">
        <v>1125.367047905183</v>
      </c>
      <c r="Y694" s="5">
        <v>881.43057203493504</v>
      </c>
    </row>
    <row r="695" spans="1:25">
      <c r="A695">
        <v>200</v>
      </c>
      <c r="B695">
        <v>3</v>
      </c>
      <c r="C695">
        <v>303.5</v>
      </c>
      <c r="D695">
        <v>46.8</v>
      </c>
      <c r="E695">
        <v>3</v>
      </c>
      <c r="F695">
        <v>2383</v>
      </c>
      <c r="G695" s="35">
        <v>2248.666666666667</v>
      </c>
      <c r="H695" s="5">
        <v>3234.1691835331681</v>
      </c>
      <c r="I695" s="5">
        <v>3234.1689788483432</v>
      </c>
      <c r="J695" s="5">
        <v>3234.1956182306471</v>
      </c>
      <c r="K695" s="5">
        <v>2441.875</v>
      </c>
      <c r="L695" s="5">
        <v>2272.2402007812552</v>
      </c>
      <c r="M695" s="5">
        <v>2268.2316073354909</v>
      </c>
      <c r="N695" s="5">
        <v>2321.3453961055302</v>
      </c>
      <c r="O695" s="5">
        <v>2296.6517532164298</v>
      </c>
      <c r="P695">
        <v>2385.8889658095809</v>
      </c>
      <c r="Q695" s="5">
        <v>2297.672784063051</v>
      </c>
      <c r="R695" s="5">
        <v>2267.066650390625</v>
      </c>
      <c r="S695" s="5">
        <v>2415.24267578125</v>
      </c>
      <c r="T695" s="5">
        <v>2279.7580560651386</v>
      </c>
      <c r="U695" s="5">
        <v>2296.2471532472955</v>
      </c>
      <c r="V695" s="5">
        <v>1950.1935903376136</v>
      </c>
      <c r="W695" s="5">
        <v>1938.6279986244717</v>
      </c>
      <c r="X695" s="5">
        <v>2190.4064807208802</v>
      </c>
      <c r="Y695" s="5">
        <v>1860.9827171413419</v>
      </c>
    </row>
    <row r="696" spans="1:25">
      <c r="A696">
        <v>76.180000000000007</v>
      </c>
      <c r="B696">
        <v>3.31</v>
      </c>
      <c r="C696">
        <v>305</v>
      </c>
      <c r="D696">
        <v>145</v>
      </c>
      <c r="E696">
        <v>3.9380414807035971</v>
      </c>
      <c r="F696">
        <v>841</v>
      </c>
      <c r="G696" s="35">
        <v>786.40064424049046</v>
      </c>
      <c r="H696" s="5">
        <v>1007.860584067836</v>
      </c>
      <c r="I696" s="5">
        <v>1007.8606319321181</v>
      </c>
      <c r="J696" s="5">
        <v>1007.79929118385</v>
      </c>
      <c r="K696" s="5">
        <v>891.5333333333333</v>
      </c>
      <c r="L696" s="5">
        <v>970.75588586624986</v>
      </c>
      <c r="M696" s="5">
        <v>888.13737864077666</v>
      </c>
      <c r="N696" s="5">
        <v>915.13482542497763</v>
      </c>
      <c r="O696" s="5">
        <v>834.65509587217946</v>
      </c>
      <c r="P696">
        <v>869.63943313419622</v>
      </c>
      <c r="Q696" s="5">
        <v>776.55940095506594</v>
      </c>
      <c r="R696" s="5">
        <v>825.29241943359375</v>
      </c>
      <c r="S696" s="5">
        <v>712.3546142578125</v>
      </c>
      <c r="T696" s="5">
        <v>850.17930079517953</v>
      </c>
      <c r="U696" s="5">
        <v>883.83659588115688</v>
      </c>
      <c r="V696" s="5">
        <v>785.2378680487908</v>
      </c>
    </row>
    <row r="697" spans="1:25">
      <c r="A697">
        <v>168.3</v>
      </c>
      <c r="B697">
        <v>3.6</v>
      </c>
      <c r="C697">
        <v>288.39999999999998</v>
      </c>
      <c r="D697">
        <v>33.299999999999997</v>
      </c>
      <c r="E697">
        <v>1.8122400475341649</v>
      </c>
      <c r="F697">
        <v>1432</v>
      </c>
      <c r="G697" s="35">
        <v>1463</v>
      </c>
      <c r="H697" s="5">
        <v>2038.3253396012551</v>
      </c>
      <c r="I697" s="5">
        <v>2038.3255830248879</v>
      </c>
      <c r="J697" s="5">
        <v>2038.397173478379</v>
      </c>
      <c r="K697" s="5">
        <v>1325.5666666666671</v>
      </c>
      <c r="L697" s="5">
        <v>1467.6851138979121</v>
      </c>
      <c r="M697" s="5">
        <v>1463.684466019417</v>
      </c>
      <c r="N697" s="5">
        <v>1439.2291637201249</v>
      </c>
      <c r="O697" s="5">
        <v>1459.0090754200489</v>
      </c>
      <c r="P697">
        <v>1442.6541132730849</v>
      </c>
      <c r="Q697" s="5">
        <v>1498.1402103218729</v>
      </c>
      <c r="R697" s="5">
        <v>1464.629638671875</v>
      </c>
      <c r="S697" s="5">
        <v>1672.536376953125</v>
      </c>
      <c r="T697" s="5">
        <v>1643.6579396785266</v>
      </c>
      <c r="U697" s="5">
        <v>1549.0484650712324</v>
      </c>
      <c r="V697" s="5">
        <v>1346.3965433025769</v>
      </c>
      <c r="W697" s="5">
        <v>1438.6890450918149</v>
      </c>
      <c r="X697" s="5">
        <v>1549.5100777811581</v>
      </c>
      <c r="Y697" s="5">
        <v>1179.132925385901</v>
      </c>
    </row>
    <row r="698" spans="1:25">
      <c r="A698">
        <v>121</v>
      </c>
      <c r="B698">
        <v>12</v>
      </c>
      <c r="C698">
        <v>294.1995</v>
      </c>
      <c r="D698">
        <v>10.093004179999999</v>
      </c>
      <c r="E698">
        <v>4.1322314049586772</v>
      </c>
      <c r="F698">
        <v>2373.2093069306138</v>
      </c>
      <c r="G698" s="35">
        <v>2417.3392320594889</v>
      </c>
      <c r="H698" s="5">
        <v>2715.0963808637271</v>
      </c>
      <c r="I698" s="5">
        <v>2715.0970608281082</v>
      </c>
      <c r="J698" s="5">
        <v>2715.0979596579969</v>
      </c>
      <c r="K698" s="5">
        <v>2370.5632792658939</v>
      </c>
      <c r="L698" s="5">
        <v>2447.828173803071</v>
      </c>
      <c r="M698" s="5">
        <v>2417.3392320594871</v>
      </c>
      <c r="N698" s="5">
        <v>2409.2741760583772</v>
      </c>
      <c r="O698" s="5">
        <v>2422.5964420179071</v>
      </c>
      <c r="P698">
        <v>2364.3416206458319</v>
      </c>
      <c r="Q698" s="5">
        <v>2406.276094486007</v>
      </c>
      <c r="R698" s="5">
        <v>2417.974853515625</v>
      </c>
      <c r="S698" s="5">
        <v>2372.20556640625</v>
      </c>
      <c r="T698" s="5">
        <v>2328.377870648726</v>
      </c>
      <c r="U698" s="5">
        <v>2033.0447456751326</v>
      </c>
      <c r="V698" s="5">
        <v>1841.2152272257656</v>
      </c>
    </row>
    <row r="699" spans="1:25">
      <c r="A699">
        <v>114.9</v>
      </c>
      <c r="B699">
        <v>4.01</v>
      </c>
      <c r="C699">
        <v>304.3</v>
      </c>
      <c r="D699">
        <v>130.80000000000001</v>
      </c>
      <c r="E699">
        <v>2.976501305483028</v>
      </c>
      <c r="F699">
        <v>1748</v>
      </c>
      <c r="G699" s="35">
        <v>1300.9240864722699</v>
      </c>
      <c r="H699" s="5">
        <v>2145.0808786883222</v>
      </c>
      <c r="I699" s="5">
        <v>2145.0809287452748</v>
      </c>
      <c r="J699" s="5">
        <v>2145.043613547768</v>
      </c>
      <c r="K699" s="5">
        <v>1887.4444444444439</v>
      </c>
      <c r="L699" s="5">
        <v>1513.874819024727</v>
      </c>
      <c r="M699" s="5">
        <v>1678.870825242717</v>
      </c>
      <c r="N699" s="5">
        <v>1776.8156041453219</v>
      </c>
      <c r="O699" s="5">
        <v>1649.303541165561</v>
      </c>
      <c r="P699">
        <v>1751.076559311751</v>
      </c>
      <c r="Q699" s="5">
        <v>1403.58902171622</v>
      </c>
      <c r="R699" s="5">
        <v>1546.479370117188</v>
      </c>
      <c r="S699" s="5">
        <v>1679.6378173828125</v>
      </c>
      <c r="T699" s="5">
        <v>1878.8851495905965</v>
      </c>
      <c r="U699" s="5">
        <v>1785.6604968298482</v>
      </c>
      <c r="V699" s="5">
        <v>1573.2035780058404</v>
      </c>
    </row>
    <row r="700" spans="1:25">
      <c r="A700">
        <v>112.56</v>
      </c>
      <c r="B700">
        <v>2.89</v>
      </c>
      <c r="C700">
        <v>360</v>
      </c>
      <c r="D700">
        <v>31.891778952991078</v>
      </c>
      <c r="E700">
        <v>3.020611229566454</v>
      </c>
      <c r="F700">
        <v>747</v>
      </c>
      <c r="G700" s="35">
        <v>771.88612787776583</v>
      </c>
      <c r="H700" s="5">
        <v>402.21826368749038</v>
      </c>
      <c r="I700" s="5">
        <v>402.21856913881578</v>
      </c>
      <c r="J700" s="5">
        <v>402.24514323830732</v>
      </c>
      <c r="K700" s="5">
        <v>773.5</v>
      </c>
      <c r="L700" s="5">
        <v>770.48355132918869</v>
      </c>
      <c r="M700" s="5">
        <v>766.84331375063357</v>
      </c>
      <c r="N700" s="5">
        <v>758.40472812852988</v>
      </c>
      <c r="O700" s="5">
        <v>706.65006302890959</v>
      </c>
      <c r="P700">
        <v>738.31593071988425</v>
      </c>
      <c r="Q700" s="5">
        <v>793.37498461663176</v>
      </c>
      <c r="R700" s="5">
        <v>718.68939208984375</v>
      </c>
      <c r="S700" s="5">
        <v>873.431884765625</v>
      </c>
      <c r="T700" s="5">
        <v>934.3487197601753</v>
      </c>
      <c r="U700" s="5">
        <v>866.29526159684019</v>
      </c>
      <c r="V700" s="5">
        <v>764.19067265235742</v>
      </c>
      <c r="W700" s="5">
        <v>790.44202685551056</v>
      </c>
      <c r="X700" s="5">
        <v>802.8921024308662</v>
      </c>
      <c r="Y700" s="5">
        <v>625.23123813997631</v>
      </c>
    </row>
    <row r="701" spans="1:25">
      <c r="A701">
        <v>200</v>
      </c>
      <c r="B701">
        <v>1.87</v>
      </c>
      <c r="C701">
        <v>282</v>
      </c>
      <c r="D701">
        <v>68.160000000000011</v>
      </c>
      <c r="E701">
        <v>3</v>
      </c>
      <c r="F701">
        <v>2783</v>
      </c>
      <c r="G701" s="35">
        <v>2824</v>
      </c>
      <c r="H701" s="5">
        <v>3173.2137821988681</v>
      </c>
      <c r="I701" s="5">
        <v>3173.2134626100519</v>
      </c>
      <c r="J701" s="5">
        <v>3173.2341175011752</v>
      </c>
      <c r="K701" s="5">
        <v>2441.875</v>
      </c>
      <c r="L701" s="5">
        <v>2720.1969126015219</v>
      </c>
      <c r="M701" s="5">
        <v>2822.8456310679612</v>
      </c>
      <c r="N701" s="5">
        <v>2842.7680005906541</v>
      </c>
      <c r="O701" s="5">
        <v>2774.0464636403021</v>
      </c>
      <c r="P701">
        <v>2765.879143283059</v>
      </c>
      <c r="Q701" s="5">
        <v>2604.2310764991798</v>
      </c>
      <c r="R701" s="5">
        <v>2825.39111328125</v>
      </c>
      <c r="S701" s="5">
        <v>2863.571044921875</v>
      </c>
      <c r="T701" s="5">
        <v>2649.1010509202088</v>
      </c>
      <c r="U701" s="5">
        <v>2593.7213411942189</v>
      </c>
      <c r="V701" s="5">
        <v>2141.3088841919916</v>
      </c>
      <c r="Y701" s="5">
        <v>2257.826558020256</v>
      </c>
    </row>
    <row r="702" spans="1:25">
      <c r="A702">
        <v>114.3</v>
      </c>
      <c r="B702">
        <v>6</v>
      </c>
      <c r="C702">
        <v>342.95</v>
      </c>
      <c r="D702">
        <v>105.45</v>
      </c>
      <c r="E702">
        <v>3.00087489063867</v>
      </c>
      <c r="F702">
        <v>1683.4</v>
      </c>
      <c r="G702" s="35">
        <v>1794.7411323833039</v>
      </c>
      <c r="H702" s="5">
        <v>2433.9247947693061</v>
      </c>
      <c r="I702" s="5">
        <v>2433.9250033934541</v>
      </c>
      <c r="J702" s="5">
        <v>2433.8871322092791</v>
      </c>
      <c r="K702" s="5">
        <v>1581.4428571428571</v>
      </c>
      <c r="L702" s="5">
        <v>1572.726366433561</v>
      </c>
      <c r="M702" s="5">
        <v>1611.336407766993</v>
      </c>
      <c r="N702" s="5">
        <v>1638.2472733861659</v>
      </c>
      <c r="O702" s="5">
        <v>1664.463146018627</v>
      </c>
      <c r="P702">
        <v>1616.7086222843759</v>
      </c>
      <c r="Q702" s="5">
        <v>1550.3713928871571</v>
      </c>
      <c r="R702" s="5">
        <v>1541.899291992188</v>
      </c>
      <c r="S702" s="5">
        <v>2178.246337890625</v>
      </c>
      <c r="T702" s="5">
        <v>2078.6963258740207</v>
      </c>
      <c r="U702" s="5">
        <v>1874.8825089284665</v>
      </c>
      <c r="V702" s="5">
        <v>1735.0576911816254</v>
      </c>
    </row>
    <row r="703" spans="1:25">
      <c r="A703">
        <v>320</v>
      </c>
      <c r="B703">
        <v>7</v>
      </c>
      <c r="C703">
        <v>250.06957499999999</v>
      </c>
      <c r="D703">
        <v>43.9534053</v>
      </c>
      <c r="E703">
        <v>1.375</v>
      </c>
      <c r="F703">
        <v>5903.6033172406178</v>
      </c>
      <c r="G703" s="35">
        <v>6472.001248584038</v>
      </c>
      <c r="H703" s="5">
        <v>7926.2571431660617</v>
      </c>
      <c r="I703" s="5">
        <v>7926.2566651204043</v>
      </c>
      <c r="J703" s="5">
        <v>7926.2953913911469</v>
      </c>
      <c r="K703" s="5">
        <v>5719.1602945748709</v>
      </c>
      <c r="L703" s="5">
        <v>6153.4022081999556</v>
      </c>
      <c r="M703" s="5">
        <v>5994.4387660661951</v>
      </c>
      <c r="N703" s="5">
        <v>6822.9230808566999</v>
      </c>
      <c r="O703" s="5">
        <v>5953.5465301842232</v>
      </c>
      <c r="P703">
        <v>6189.8513589424456</v>
      </c>
      <c r="Q703" s="5">
        <v>6635.3884588620758</v>
      </c>
      <c r="R703" s="5">
        <v>5720.3916015625</v>
      </c>
      <c r="S703" s="5">
        <v>6569.2275390625</v>
      </c>
      <c r="T703" s="5">
        <v>6857.0321360532325</v>
      </c>
      <c r="U703" s="5">
        <v>6020.8849889683215</v>
      </c>
      <c r="V703" s="5">
        <v>5159.8697705969671</v>
      </c>
      <c r="W703" s="5">
        <v>5525.9984364379752</v>
      </c>
      <c r="X703" s="5">
        <v>6116.3928207266508</v>
      </c>
      <c r="Y703" s="5">
        <v>4784.9162971116448</v>
      </c>
    </row>
    <row r="704" spans="1:25">
      <c r="A704">
        <v>114</v>
      </c>
      <c r="B704">
        <v>3.2</v>
      </c>
      <c r="C704">
        <v>353.6</v>
      </c>
      <c r="D704">
        <v>45.94587967246504</v>
      </c>
      <c r="E704">
        <v>2.9561403508771931</v>
      </c>
      <c r="F704">
        <v>1140</v>
      </c>
      <c r="G704" s="35">
        <v>1103.2380989586859</v>
      </c>
      <c r="H704" s="5">
        <v>629.10388047023207</v>
      </c>
      <c r="I704" s="5">
        <v>629.10419643607293</v>
      </c>
      <c r="J704" s="5">
        <v>629.14201483306715</v>
      </c>
      <c r="K704" s="5">
        <v>1014.885714285714</v>
      </c>
      <c r="L704" s="5">
        <v>1065.735914815355</v>
      </c>
      <c r="M704" s="5">
        <v>1093.496040221914</v>
      </c>
      <c r="N704" s="5">
        <v>1072.0708317801329</v>
      </c>
      <c r="O704" s="5">
        <v>1114.3137571524931</v>
      </c>
      <c r="P704">
        <v>1178.2274339316621</v>
      </c>
      <c r="Q704" s="5">
        <v>1077.788918234902</v>
      </c>
      <c r="R704" s="5">
        <v>1108.87451171875</v>
      </c>
      <c r="S704" s="5">
        <v>1031.4569091796875</v>
      </c>
      <c r="T704" s="5">
        <v>1127.7779715509555</v>
      </c>
      <c r="U704" s="5">
        <v>1055.8607208483388</v>
      </c>
      <c r="V704" s="5">
        <v>922.65467108652263</v>
      </c>
      <c r="W704" s="5">
        <v>1007.9705350895609</v>
      </c>
      <c r="X704" s="5">
        <v>980.11600858607721</v>
      </c>
      <c r="Y704" s="5">
        <v>784.83226155317141</v>
      </c>
    </row>
    <row r="705" spans="1:25">
      <c r="A705">
        <v>140.1</v>
      </c>
      <c r="B705">
        <v>9.68</v>
      </c>
      <c r="C705">
        <v>270</v>
      </c>
      <c r="D705">
        <v>32.6</v>
      </c>
      <c r="E705">
        <v>2.897930049964311</v>
      </c>
      <c r="F705">
        <v>2949</v>
      </c>
      <c r="G705" s="35">
        <v>2946.6807801410309</v>
      </c>
      <c r="H705" s="5">
        <v>2722.8911734888611</v>
      </c>
      <c r="I705" s="5">
        <v>2722.891794497461</v>
      </c>
      <c r="J705" s="5">
        <v>2722.9001805404068</v>
      </c>
      <c r="K705" s="5">
        <v>2469.504230798037</v>
      </c>
      <c r="L705" s="5">
        <v>2875.289977766809</v>
      </c>
      <c r="M705" s="5">
        <v>2949</v>
      </c>
      <c r="N705" s="5">
        <v>2554.5392110142438</v>
      </c>
      <c r="O705" s="5">
        <v>2581.2910743479092</v>
      </c>
      <c r="P705">
        <v>2575.8143891048112</v>
      </c>
      <c r="Q705" s="5">
        <v>2673.360384833461</v>
      </c>
      <c r="R705" s="5">
        <v>2773.849609375</v>
      </c>
      <c r="S705" s="5">
        <v>1808.425048828125</v>
      </c>
      <c r="T705" s="5">
        <v>2303.104612469222</v>
      </c>
      <c r="U705" s="5">
        <v>2108.0537724566916</v>
      </c>
      <c r="V705" s="5">
        <v>1886.9723857790109</v>
      </c>
      <c r="W705" s="5">
        <v>1789.0512322067561</v>
      </c>
      <c r="X705" s="5">
        <v>1882.8539283826219</v>
      </c>
      <c r="Y705" s="5">
        <v>1418.1831869826981</v>
      </c>
    </row>
    <row r="706" spans="1:25">
      <c r="A706">
        <v>150</v>
      </c>
      <c r="B706">
        <v>3.2</v>
      </c>
      <c r="C706">
        <v>265</v>
      </c>
      <c r="D706">
        <v>24.638000000000002</v>
      </c>
      <c r="E706">
        <v>4.1333333333333337</v>
      </c>
      <c r="F706">
        <v>1123</v>
      </c>
      <c r="G706" s="35">
        <v>1197.730579740369</v>
      </c>
      <c r="H706" s="5">
        <v>1307.57021704009</v>
      </c>
      <c r="I706" s="5">
        <v>1307.570274643015</v>
      </c>
      <c r="J706" s="5">
        <v>1307.5999228411069</v>
      </c>
      <c r="K706" s="5">
        <v>925.36666666666656</v>
      </c>
      <c r="L706" s="5">
        <v>836.0503169724326</v>
      </c>
      <c r="M706" s="5">
        <v>990.59847200012666</v>
      </c>
      <c r="N706" s="5">
        <v>962.35920299328905</v>
      </c>
      <c r="O706" s="5">
        <v>888.60407872662518</v>
      </c>
      <c r="P706">
        <v>1005.1664335790859</v>
      </c>
      <c r="Q706" s="5">
        <v>839.00824972699058</v>
      </c>
      <c r="R706" s="5">
        <v>1000.378295898438</v>
      </c>
      <c r="S706" s="5">
        <v>1285.9415283203125</v>
      </c>
      <c r="T706" s="5">
        <v>1133.9924962186728</v>
      </c>
      <c r="U706" s="5">
        <v>1032.5873791121278</v>
      </c>
      <c r="V706" s="5">
        <v>904.08560656274483</v>
      </c>
      <c r="W706" s="5">
        <v>939.7777397201171</v>
      </c>
      <c r="Y706" s="5">
        <v>761.70247277452359</v>
      </c>
    </row>
    <row r="707" spans="1:25">
      <c r="A707">
        <v>166</v>
      </c>
      <c r="B707">
        <v>5</v>
      </c>
      <c r="C707">
        <v>274.39999999999998</v>
      </c>
      <c r="D707">
        <v>29.62</v>
      </c>
      <c r="E707">
        <v>2.1084337349397591</v>
      </c>
      <c r="F707">
        <v>2038</v>
      </c>
      <c r="G707" s="35">
        <v>1784</v>
      </c>
      <c r="H707" s="5">
        <v>2182.4526292484638</v>
      </c>
      <c r="I707" s="5">
        <v>2182.452956872457</v>
      </c>
      <c r="J707" s="5">
        <v>2182.5232998107781</v>
      </c>
      <c r="K707" s="5">
        <v>1918.084787309881</v>
      </c>
      <c r="L707" s="5">
        <v>1865.195649071389</v>
      </c>
      <c r="M707" s="5">
        <v>1794.3988298817801</v>
      </c>
      <c r="N707" s="5">
        <v>1838.669758653107</v>
      </c>
      <c r="O707" s="5">
        <v>1853.366104729733</v>
      </c>
      <c r="P707">
        <v>1859.223045631931</v>
      </c>
      <c r="Q707" s="5">
        <v>1768.286898642504</v>
      </c>
      <c r="R707" s="5">
        <v>1795.295166015625</v>
      </c>
      <c r="S707" s="5">
        <v>1834.864013671875</v>
      </c>
      <c r="T707" s="5">
        <v>1896.3018964585106</v>
      </c>
      <c r="U707" s="5">
        <v>1690.3437290330673</v>
      </c>
      <c r="V707" s="5">
        <v>1489.3102909377585</v>
      </c>
      <c r="W707" s="5">
        <v>1541.9718731273672</v>
      </c>
      <c r="X707" s="5">
        <v>1659.9298143281101</v>
      </c>
      <c r="Y707" s="5">
        <v>1228.2654939166639</v>
      </c>
    </row>
    <row r="708" spans="1:25">
      <c r="A708">
        <v>114.8</v>
      </c>
      <c r="B708">
        <v>3.9</v>
      </c>
      <c r="C708">
        <v>357.7</v>
      </c>
      <c r="D708">
        <v>42.7</v>
      </c>
      <c r="E708">
        <v>2.98780487804878</v>
      </c>
      <c r="F708">
        <v>1030</v>
      </c>
      <c r="G708" s="35">
        <v>1039.581281431464</v>
      </c>
      <c r="H708" s="5">
        <v>825.41481006056983</v>
      </c>
      <c r="I708" s="5">
        <v>825.4151555152564</v>
      </c>
      <c r="J708" s="5">
        <v>825.45006072886531</v>
      </c>
      <c r="K708" s="5">
        <v>1113.0118829999999</v>
      </c>
      <c r="L708" s="5">
        <v>1067.7869708421761</v>
      </c>
      <c r="M708" s="5">
        <v>1058.306164505304</v>
      </c>
      <c r="N708" s="5">
        <v>1108.8016868267789</v>
      </c>
      <c r="O708" s="5">
        <v>1166.2908355008981</v>
      </c>
      <c r="P708">
        <v>1078.457691223894</v>
      </c>
      <c r="Q708" s="5">
        <v>1072.325903900773</v>
      </c>
      <c r="R708" s="5">
        <v>1093.176879882812</v>
      </c>
      <c r="S708" s="5">
        <v>1067.924560546875</v>
      </c>
      <c r="T708" s="5">
        <v>1227.8913269154036</v>
      </c>
      <c r="U708" s="5">
        <v>1171.3314318007706</v>
      </c>
      <c r="V708" s="5">
        <v>1032.5981838194334</v>
      </c>
      <c r="W708" s="5">
        <v>1090.4842521812088</v>
      </c>
      <c r="X708" s="5">
        <v>1074.6938531070809</v>
      </c>
      <c r="Y708" s="5">
        <v>844.64293232451814</v>
      </c>
    </row>
    <row r="709" spans="1:25">
      <c r="A709">
        <v>140</v>
      </c>
      <c r="B709">
        <v>4.5</v>
      </c>
      <c r="C709">
        <v>462.9</v>
      </c>
      <c r="D709">
        <v>50.44</v>
      </c>
      <c r="E709">
        <v>3</v>
      </c>
      <c r="F709">
        <v>1871.6</v>
      </c>
      <c r="G709" s="35">
        <v>1865.2</v>
      </c>
      <c r="H709" s="5">
        <v>2264.912643517946</v>
      </c>
      <c r="I709" s="5">
        <v>2264.9127354238731</v>
      </c>
      <c r="J709" s="5">
        <v>2264.9017457633622</v>
      </c>
      <c r="K709" s="5">
        <v>1587.5</v>
      </c>
      <c r="L709" s="5">
        <v>1863.9497938178099</v>
      </c>
      <c r="M709" s="5">
        <v>1862.920665742032</v>
      </c>
      <c r="N709" s="5">
        <v>1886.509949895114</v>
      </c>
      <c r="O709" s="5">
        <v>1876.9480966584911</v>
      </c>
      <c r="P709">
        <v>1859.3227350505931</v>
      </c>
      <c r="Q709" s="5">
        <v>1808.309860547937</v>
      </c>
      <c r="R709" s="5">
        <v>1870.827880859375</v>
      </c>
      <c r="S709" s="5">
        <v>1763.9522705078125</v>
      </c>
      <c r="T709" s="5">
        <v>2084.8511908481887</v>
      </c>
      <c r="U709" s="5">
        <v>2116.3355105817768</v>
      </c>
      <c r="V709" s="5">
        <v>1867.7473025077293</v>
      </c>
      <c r="W709" s="5">
        <v>1939.0643450267426</v>
      </c>
      <c r="Y709" s="5">
        <v>1518.8818774455151</v>
      </c>
    </row>
    <row r="710" spans="1:25">
      <c r="A710">
        <v>76</v>
      </c>
      <c r="B710">
        <v>2.2000000000000002</v>
      </c>
      <c r="C710">
        <v>390</v>
      </c>
      <c r="D710">
        <v>57</v>
      </c>
      <c r="E710">
        <v>3.5</v>
      </c>
      <c r="F710">
        <v>465</v>
      </c>
      <c r="G710" s="35">
        <v>475</v>
      </c>
      <c r="H710" s="5">
        <v>-516.94363735390471</v>
      </c>
      <c r="I710" s="5">
        <v>-516.94328538102081</v>
      </c>
      <c r="J710" s="5">
        <v>-516.92315007842672</v>
      </c>
      <c r="K710" s="5">
        <v>401.10912503200001</v>
      </c>
      <c r="L710" s="5">
        <v>495.97688919555827</v>
      </c>
      <c r="M710" s="5">
        <v>475</v>
      </c>
      <c r="N710" s="5">
        <v>516.51126752639232</v>
      </c>
      <c r="O710" s="5">
        <v>478.33256846491321</v>
      </c>
      <c r="P710">
        <v>472.08787953781467</v>
      </c>
      <c r="Q710" s="5">
        <v>516.89657867531878</v>
      </c>
      <c r="R710" s="5">
        <v>475.05368041992188</v>
      </c>
      <c r="S710" s="5">
        <v>525.4095458984375</v>
      </c>
      <c r="T710" s="5">
        <v>630.72675224699651</v>
      </c>
      <c r="U710" s="5">
        <v>551.76585969620385</v>
      </c>
      <c r="V710" s="5">
        <v>480.74952114039081</v>
      </c>
      <c r="W710" s="5">
        <v>535.59849423419337</v>
      </c>
      <c r="X710" s="5">
        <v>495.21560399607881</v>
      </c>
      <c r="Y710" s="5">
        <v>412.04301906144872</v>
      </c>
    </row>
    <row r="711" spans="1:25">
      <c r="A711">
        <v>150</v>
      </c>
      <c r="B711">
        <v>1.87</v>
      </c>
      <c r="C711">
        <v>282</v>
      </c>
      <c r="D711">
        <v>68.160000000000011</v>
      </c>
      <c r="E711">
        <v>3</v>
      </c>
      <c r="F711">
        <v>1670</v>
      </c>
      <c r="G711" s="35">
        <v>2381.6477634033131</v>
      </c>
      <c r="H711" s="5">
        <v>1631.2588637609131</v>
      </c>
      <c r="I711" s="5">
        <v>1631.2588523225729</v>
      </c>
      <c r="J711" s="5">
        <v>1631.2940065804</v>
      </c>
      <c r="K711" s="5">
        <v>1460.181818181818</v>
      </c>
      <c r="L711" s="5">
        <v>1561.006414642615</v>
      </c>
      <c r="M711" s="5">
        <v>1604.564789644013</v>
      </c>
      <c r="N711" s="5">
        <v>1714.9950860985309</v>
      </c>
      <c r="O711" s="5">
        <v>1607.1099325624859</v>
      </c>
      <c r="P711">
        <v>1456.264813761549</v>
      </c>
      <c r="Q711" s="5">
        <v>1542.680581170406</v>
      </c>
      <c r="R711" s="5">
        <v>1604.998291015625</v>
      </c>
      <c r="S711" s="5">
        <v>1783.7952880859375</v>
      </c>
      <c r="T711" s="5">
        <v>1685.9616296524368</v>
      </c>
      <c r="U711" s="5">
        <v>1542.7279711458957</v>
      </c>
      <c r="V711" s="5">
        <v>1283.6127490951799</v>
      </c>
      <c r="Y711" s="5">
        <v>1318.115450553121</v>
      </c>
    </row>
    <row r="712" spans="1:25">
      <c r="A712">
        <v>166</v>
      </c>
      <c r="B712">
        <v>5</v>
      </c>
      <c r="C712">
        <v>274.60000000000002</v>
      </c>
      <c r="D712">
        <v>18.720078217418219</v>
      </c>
      <c r="E712">
        <v>3.975903614457831</v>
      </c>
      <c r="F712">
        <v>1736</v>
      </c>
      <c r="G712" s="35">
        <v>1848.666666666667</v>
      </c>
      <c r="H712" s="5">
        <v>2182.3735648634702</v>
      </c>
      <c r="I712" s="5">
        <v>2182.373689028032</v>
      </c>
      <c r="J712" s="5">
        <v>2182.396597889714</v>
      </c>
      <c r="K712" s="5">
        <v>1845.017711946015</v>
      </c>
      <c r="L712" s="5">
        <v>1884.542898785623</v>
      </c>
      <c r="M712" s="5">
        <v>1882.6813010457911</v>
      </c>
      <c r="N712" s="5">
        <v>1908.110309459086</v>
      </c>
      <c r="O712" s="5">
        <v>1888.866111901046</v>
      </c>
      <c r="P712">
        <v>1887.7301229818911</v>
      </c>
      <c r="Q712" s="5">
        <v>1769.399220765813</v>
      </c>
      <c r="R712" s="5">
        <v>1881.509521484375</v>
      </c>
      <c r="S712" s="5">
        <v>1805.3082275390625</v>
      </c>
      <c r="T712" s="5">
        <v>1679.9889098782562</v>
      </c>
      <c r="U712" s="5">
        <v>1482.8280124552666</v>
      </c>
      <c r="V712" s="5">
        <v>1323.3975976374068</v>
      </c>
      <c r="W712" s="5">
        <v>1267.3536181476302</v>
      </c>
    </row>
    <row r="713" spans="1:25">
      <c r="A713">
        <v>250</v>
      </c>
      <c r="B713">
        <v>2.48</v>
      </c>
      <c r="C713">
        <v>326</v>
      </c>
      <c r="D713">
        <v>73.2</v>
      </c>
      <c r="E713">
        <v>2</v>
      </c>
      <c r="F713">
        <v>4871</v>
      </c>
      <c r="G713" s="35">
        <v>4630.5</v>
      </c>
      <c r="H713" s="5">
        <v>5213.8666274487914</v>
      </c>
      <c r="I713" s="5">
        <v>5213.8661202221056</v>
      </c>
      <c r="J713" s="5">
        <v>5213.8920015730982</v>
      </c>
      <c r="K713" s="5">
        <v>4778.5</v>
      </c>
      <c r="L713" s="5">
        <v>4791.3804006410264</v>
      </c>
      <c r="M713" s="5">
        <v>4630.5</v>
      </c>
      <c r="N713" s="5">
        <v>4407.5577524060209</v>
      </c>
      <c r="O713" s="5">
        <v>4611.5367810087973</v>
      </c>
      <c r="P713">
        <v>4496.1126520573471</v>
      </c>
      <c r="Q713" s="5">
        <v>4732.9999999999991</v>
      </c>
      <c r="R713" s="5">
        <v>4631.2421875</v>
      </c>
      <c r="S713" s="5">
        <v>4393.154296875</v>
      </c>
      <c r="T713" s="5">
        <v>4608.868503855424</v>
      </c>
      <c r="U713" s="5">
        <v>4470.4940744767364</v>
      </c>
      <c r="V713" s="5">
        <v>3703.3657300957734</v>
      </c>
    </row>
    <row r="714" spans="1:25">
      <c r="A714">
        <v>133</v>
      </c>
      <c r="B714">
        <v>5</v>
      </c>
      <c r="C714">
        <v>306</v>
      </c>
      <c r="D714">
        <v>44.24</v>
      </c>
      <c r="E714">
        <v>3</v>
      </c>
      <c r="F714">
        <v>1470</v>
      </c>
      <c r="G714" s="35">
        <v>1531.6097560975611</v>
      </c>
      <c r="H714" s="5">
        <v>1605.885957937885</v>
      </c>
      <c r="I714" s="5">
        <v>1605.886279693131</v>
      </c>
      <c r="J714" s="5">
        <v>1605.9094427782229</v>
      </c>
      <c r="K714" s="5">
        <v>2142.4</v>
      </c>
      <c r="L714" s="5">
        <v>1545.384087419859</v>
      </c>
      <c r="M714" s="5">
        <v>1517.512307944166</v>
      </c>
      <c r="N714" s="5">
        <v>1576.165656383592</v>
      </c>
      <c r="O714" s="5">
        <v>1539.415043652225</v>
      </c>
      <c r="P714">
        <v>1544.735839580954</v>
      </c>
      <c r="Q714" s="5">
        <v>1527.530513109416</v>
      </c>
      <c r="R714" s="5">
        <v>1583.182983398438</v>
      </c>
      <c r="S714" s="5">
        <v>1537.101318359375</v>
      </c>
      <c r="T714" s="5">
        <v>1563.0955724830715</v>
      </c>
      <c r="U714" s="5">
        <v>1522.3766556851501</v>
      </c>
      <c r="V714" s="5">
        <v>1338.2934757098176</v>
      </c>
      <c r="W714" s="5">
        <v>1422.2594039706451</v>
      </c>
      <c r="X714" s="5">
        <v>1404.43211206818</v>
      </c>
      <c r="Y714" s="5">
        <v>1107.2747210199741</v>
      </c>
    </row>
    <row r="715" spans="1:25">
      <c r="A715">
        <v>168.8</v>
      </c>
      <c r="B715">
        <v>2.64</v>
      </c>
      <c r="C715">
        <v>302.39999999999998</v>
      </c>
      <c r="D715">
        <v>18.2</v>
      </c>
      <c r="E715">
        <v>1.8068720379146921</v>
      </c>
      <c r="F715">
        <v>1326</v>
      </c>
      <c r="G715" s="35">
        <v>1265.904926592118</v>
      </c>
      <c r="H715" s="5">
        <v>1614.595780537818</v>
      </c>
      <c r="I715" s="5">
        <v>1614.595984765403</v>
      </c>
      <c r="J715" s="5">
        <v>1614.685399052285</v>
      </c>
      <c r="K715" s="5">
        <v>1156.891206666108</v>
      </c>
      <c r="L715" s="5">
        <v>1187.326862600321</v>
      </c>
      <c r="M715" s="5">
        <v>1247.239920295505</v>
      </c>
      <c r="N715" s="5">
        <v>1329.744580652412</v>
      </c>
      <c r="O715" s="5">
        <v>1356.034543090813</v>
      </c>
      <c r="P715">
        <v>1188.319235403691</v>
      </c>
      <c r="Q715" s="5">
        <v>1230.5475167079151</v>
      </c>
      <c r="R715" s="5">
        <v>1238.798583984375</v>
      </c>
      <c r="S715" s="5">
        <v>1314.892578125</v>
      </c>
      <c r="T715" s="5">
        <v>1058.6387092863997</v>
      </c>
      <c r="U715" s="5">
        <v>1057.3248169140234</v>
      </c>
      <c r="V715" s="5">
        <v>929.5157643819424</v>
      </c>
      <c r="W715" s="5">
        <v>859.310435070925</v>
      </c>
    </row>
    <row r="716" spans="1:25">
      <c r="A716">
        <v>57.15</v>
      </c>
      <c r="B716">
        <v>2</v>
      </c>
      <c r="C716">
        <v>250</v>
      </c>
      <c r="D716">
        <v>41.360000000000007</v>
      </c>
      <c r="E716">
        <v>6.1242344706911638</v>
      </c>
      <c r="F716">
        <v>172</v>
      </c>
      <c r="G716" s="35">
        <v>156.20330533301981</v>
      </c>
      <c r="H716" s="5">
        <v>-1636.5209004000831</v>
      </c>
      <c r="I716" s="5">
        <v>-1636.5206198086721</v>
      </c>
      <c r="J716" s="5">
        <v>-1636.5395283131029</v>
      </c>
      <c r="K716" s="5">
        <v>171.21625</v>
      </c>
      <c r="L716" s="5">
        <v>200.3433557692295</v>
      </c>
      <c r="M716" s="5">
        <v>169.08864077669901</v>
      </c>
      <c r="N716" s="5">
        <v>199.41256155929821</v>
      </c>
      <c r="O716" s="5">
        <v>182.04004401579789</v>
      </c>
      <c r="P716">
        <v>185.37865770778421</v>
      </c>
      <c r="Q716" s="5">
        <v>187.49206668357681</v>
      </c>
      <c r="R716" s="5">
        <v>179.12043762207031</v>
      </c>
      <c r="S716" s="5">
        <v>271.43115234375</v>
      </c>
      <c r="T716" s="5">
        <v>237.41320261009849</v>
      </c>
      <c r="U716" s="5">
        <v>232.10463091724822</v>
      </c>
      <c r="V716" s="5">
        <v>202.69001434413522</v>
      </c>
      <c r="W716" s="5">
        <v>223.62937403873016</v>
      </c>
      <c r="X716" s="5">
        <v>190.5827190722141</v>
      </c>
      <c r="Y716" s="5">
        <v>169.56048011720719</v>
      </c>
    </row>
    <row r="717" spans="1:25">
      <c r="A717">
        <v>122</v>
      </c>
      <c r="B717">
        <v>4.54</v>
      </c>
      <c r="C717">
        <v>576</v>
      </c>
      <c r="D717">
        <v>40.5</v>
      </c>
      <c r="E717">
        <v>3</v>
      </c>
      <c r="F717">
        <v>1657</v>
      </c>
      <c r="G717" s="35">
        <v>1663</v>
      </c>
      <c r="H717" s="5">
        <v>2063.363498948162</v>
      </c>
      <c r="I717" s="5">
        <v>2063.3636401285612</v>
      </c>
      <c r="J717" s="5">
        <v>2063.337411395964</v>
      </c>
      <c r="K717" s="5">
        <v>1038.5999999999999</v>
      </c>
      <c r="L717" s="5">
        <v>1621.2949020780891</v>
      </c>
      <c r="M717" s="5">
        <v>1663</v>
      </c>
      <c r="N717" s="5">
        <v>1720.016576825509</v>
      </c>
      <c r="O717" s="5">
        <v>1696.9015956611879</v>
      </c>
      <c r="P717">
        <v>1685.4292355871819</v>
      </c>
      <c r="Q717" s="5">
        <v>1464.199505268256</v>
      </c>
      <c r="R717" s="5">
        <v>1660.438232421875</v>
      </c>
      <c r="S717" s="5">
        <v>1779.4736328125</v>
      </c>
      <c r="T717" s="5">
        <v>1859.8506247792677</v>
      </c>
      <c r="U717" s="5">
        <v>1872.358683273437</v>
      </c>
      <c r="V717" s="5">
        <v>1764.0025392852488</v>
      </c>
      <c r="W717" s="5">
        <v>1680.1963320669463</v>
      </c>
    </row>
    <row r="718" spans="1:25">
      <c r="A718">
        <v>108</v>
      </c>
      <c r="B718">
        <v>4</v>
      </c>
      <c r="C718">
        <v>332</v>
      </c>
      <c r="D718">
        <v>41.17</v>
      </c>
      <c r="E718">
        <v>3</v>
      </c>
      <c r="F718">
        <v>970</v>
      </c>
      <c r="G718" s="35">
        <v>1139.8535277977289</v>
      </c>
      <c r="H718" s="5">
        <v>516.48290960343593</v>
      </c>
      <c r="I718" s="5">
        <v>516.48332594082285</v>
      </c>
      <c r="J718" s="5">
        <v>516.52638415993533</v>
      </c>
      <c r="K718" s="5">
        <v>876.26080817667525</v>
      </c>
      <c r="L718" s="5">
        <v>1067.178642777508</v>
      </c>
      <c r="M718" s="5">
        <v>1076.333816259342</v>
      </c>
      <c r="N718" s="5">
        <v>1126.4340696867609</v>
      </c>
      <c r="O718" s="5">
        <v>1170.4720864829619</v>
      </c>
      <c r="P718">
        <v>1036.8605334441841</v>
      </c>
      <c r="Q718" s="5">
        <v>1053.997883605183</v>
      </c>
      <c r="R718" s="5">
        <v>1031.17236328125</v>
      </c>
      <c r="S718" s="5">
        <v>970.5240478515625</v>
      </c>
      <c r="T718" s="5">
        <v>1101.1003317288917</v>
      </c>
      <c r="U718" s="5">
        <v>1026.2528880783311</v>
      </c>
      <c r="V718" s="5">
        <v>905.96531430961693</v>
      </c>
      <c r="W718" s="5">
        <v>954.48637033286946</v>
      </c>
      <c r="X718" s="5">
        <v>941.77966250836823</v>
      </c>
      <c r="Y718" s="5">
        <v>736.03714822671282</v>
      </c>
    </row>
    <row r="719" spans="1:25">
      <c r="A719">
        <v>273</v>
      </c>
      <c r="B719">
        <v>8</v>
      </c>
      <c r="C719">
        <v>306.94814500000001</v>
      </c>
      <c r="D719">
        <v>14.48834471</v>
      </c>
      <c r="E719">
        <v>4.0293040293040292</v>
      </c>
      <c r="F719">
        <v>5197.5245151786175</v>
      </c>
      <c r="G719" s="35">
        <v>5295.5910154650064</v>
      </c>
      <c r="H719" s="5">
        <v>6556.0340658659998</v>
      </c>
      <c r="I719" s="5">
        <v>6556.0336672621797</v>
      </c>
      <c r="J719" s="5">
        <v>6556.0162435572656</v>
      </c>
      <c r="K719" s="5">
        <v>5478.0862695989399</v>
      </c>
      <c r="L719" s="5">
        <v>5182.2896233669844</v>
      </c>
      <c r="M719" s="5">
        <v>5295.5910154650019</v>
      </c>
      <c r="N719" s="5">
        <v>4536.8001166488248</v>
      </c>
      <c r="O719" s="5">
        <v>5210.3257798163713</v>
      </c>
      <c r="P719">
        <v>4981.827312320801</v>
      </c>
      <c r="Q719" s="5">
        <v>4911.5778686554704</v>
      </c>
      <c r="R719" s="5">
        <v>5294.32861328125</v>
      </c>
      <c r="S719" s="5">
        <v>4738.14111328125</v>
      </c>
      <c r="T719" s="5">
        <v>4391.3423576695441</v>
      </c>
      <c r="U719" s="5">
        <v>4063.3921070829824</v>
      </c>
      <c r="V719" s="5">
        <v>3654.7995965451837</v>
      </c>
      <c r="W719" s="5">
        <v>3247.2670655510101</v>
      </c>
    </row>
    <row r="720" spans="1:25">
      <c r="A720">
        <v>133</v>
      </c>
      <c r="B720">
        <v>5</v>
      </c>
      <c r="C720">
        <v>306</v>
      </c>
      <c r="D720">
        <v>55.760000000000012</v>
      </c>
      <c r="E720">
        <v>3</v>
      </c>
      <c r="F720">
        <v>1659</v>
      </c>
      <c r="G720" s="35">
        <v>1662.9321851453169</v>
      </c>
      <c r="H720" s="5">
        <v>1808.53830324355</v>
      </c>
      <c r="I720" s="5">
        <v>1808.5385838423581</v>
      </c>
      <c r="J720" s="5">
        <v>1808.55263571819</v>
      </c>
      <c r="K720" s="5">
        <v>1601.9416666666671</v>
      </c>
      <c r="L720" s="5">
        <v>1634.716119480423</v>
      </c>
      <c r="M720" s="5">
        <v>1676.3122599784249</v>
      </c>
      <c r="N720" s="5">
        <v>1549.080469961606</v>
      </c>
      <c r="O720" s="5">
        <v>1603.766009533256</v>
      </c>
      <c r="P720">
        <v>1569.253140385078</v>
      </c>
      <c r="Q720" s="5">
        <v>1606.3348662020701</v>
      </c>
      <c r="R720" s="5">
        <v>1636.234985351562</v>
      </c>
      <c r="S720" s="5">
        <v>1660.5040283203125</v>
      </c>
      <c r="T720" s="5">
        <v>1694.6510021057591</v>
      </c>
      <c r="U720" s="5">
        <v>1659.260622822891</v>
      </c>
      <c r="V720" s="5">
        <v>1447.8006494200104</v>
      </c>
      <c r="W720" s="5">
        <v>1570.6638416041005</v>
      </c>
      <c r="X720" s="5">
        <v>1532.013864935755</v>
      </c>
      <c r="Y720" s="5">
        <v>1235.796566171309</v>
      </c>
    </row>
    <row r="721" spans="1:25">
      <c r="A721">
        <v>393</v>
      </c>
      <c r="B721">
        <v>9.3800000000000008</v>
      </c>
      <c r="C721">
        <v>312</v>
      </c>
      <c r="D721">
        <v>73.2</v>
      </c>
      <c r="E721">
        <v>2</v>
      </c>
      <c r="F721">
        <v>14406</v>
      </c>
      <c r="G721" s="35">
        <v>14161</v>
      </c>
      <c r="H721" s="5">
        <v>11564.966980365931</v>
      </c>
      <c r="I721" s="5">
        <v>11564.966005459009</v>
      </c>
      <c r="J721" s="5">
        <v>11564.929233615159</v>
      </c>
      <c r="K721" s="5">
        <v>9716.0769230769238</v>
      </c>
      <c r="L721" s="5">
        <v>12579.45890224359</v>
      </c>
      <c r="M721" s="5">
        <v>14161</v>
      </c>
      <c r="N721" s="5">
        <v>17527.743284735829</v>
      </c>
      <c r="O721" s="5">
        <v>14035.619231068011</v>
      </c>
      <c r="P721">
        <v>14250.377170825461</v>
      </c>
      <c r="Q721" s="5">
        <v>14161.000000000009</v>
      </c>
      <c r="R721" s="5">
        <v>14153.326171875</v>
      </c>
      <c r="S721" s="5">
        <v>14126.9931640625</v>
      </c>
      <c r="T721" s="5">
        <v>13975.437234036706</v>
      </c>
      <c r="U721" s="5">
        <v>13765.736204668126</v>
      </c>
      <c r="V721" s="5">
        <v>11714.162930736473</v>
      </c>
    </row>
    <row r="722" spans="1:25">
      <c r="A722">
        <v>273</v>
      </c>
      <c r="B722">
        <v>8</v>
      </c>
      <c r="C722">
        <v>307</v>
      </c>
      <c r="D722">
        <v>17.647520879226249</v>
      </c>
      <c r="E722">
        <v>4.0293040293040292</v>
      </c>
      <c r="F722">
        <v>5580</v>
      </c>
      <c r="G722" s="35">
        <v>5042.8061678025833</v>
      </c>
      <c r="H722" s="5">
        <v>6498.8867660467658</v>
      </c>
      <c r="I722" s="5">
        <v>6498.8863784643681</v>
      </c>
      <c r="J722" s="5">
        <v>6498.8677345032556</v>
      </c>
      <c r="K722" s="5">
        <v>5027.1662153669286</v>
      </c>
      <c r="L722" s="5">
        <v>5104.6870977437156</v>
      </c>
      <c r="M722" s="5">
        <v>5193.4754028083789</v>
      </c>
      <c r="N722" s="5">
        <v>4478.878371677778</v>
      </c>
      <c r="O722" s="5">
        <v>4757.8856875128304</v>
      </c>
      <c r="P722">
        <v>5113.6324079888782</v>
      </c>
      <c r="Q722" s="5">
        <v>4791.7570080499618</v>
      </c>
      <c r="R722" s="5">
        <v>4889.21142578125</v>
      </c>
      <c r="S722" s="5">
        <v>4984.93017578125</v>
      </c>
      <c r="T722" s="5">
        <v>4506.6628581383266</v>
      </c>
      <c r="U722" s="5">
        <v>4227.8331118530423</v>
      </c>
      <c r="V722" s="5">
        <v>3786.4206655560206</v>
      </c>
      <c r="W722" s="5">
        <v>3472.1617302660297</v>
      </c>
    </row>
    <row r="723" spans="1:25">
      <c r="A723">
        <v>222</v>
      </c>
      <c r="B723">
        <v>6.47</v>
      </c>
      <c r="C723">
        <v>843</v>
      </c>
      <c r="D723">
        <v>77</v>
      </c>
      <c r="E723">
        <v>3</v>
      </c>
      <c r="F723">
        <v>7304</v>
      </c>
      <c r="G723" s="35">
        <v>4757.0262063657101</v>
      </c>
      <c r="H723" s="5">
        <v>7066.7339631455961</v>
      </c>
      <c r="I723" s="5">
        <v>7066.7333669983018</v>
      </c>
      <c r="J723" s="5">
        <v>7066.6127574765806</v>
      </c>
      <c r="K723" s="5">
        <v>5907.8566512662419</v>
      </c>
      <c r="L723" s="5">
        <v>5696.5945054061858</v>
      </c>
      <c r="M723" s="5">
        <v>5731.016181229772</v>
      </c>
      <c r="N723" s="5">
        <v>7041.3389076648737</v>
      </c>
      <c r="O723" s="5">
        <v>7219.26058509418</v>
      </c>
      <c r="P723">
        <v>7278.9914025494581</v>
      </c>
      <c r="Q723" s="5">
        <v>5447.8762576069757</v>
      </c>
      <c r="R723" s="5">
        <v>6962.97412109375</v>
      </c>
      <c r="S723" s="5">
        <v>6077.38720703125</v>
      </c>
      <c r="T723" s="5">
        <v>7220.9262711693809</v>
      </c>
      <c r="U723" s="5">
        <v>8256.6453728003489</v>
      </c>
      <c r="V723" s="5">
        <v>7630.8835778658486</v>
      </c>
      <c r="W723" s="5">
        <v>7616.3618248923585</v>
      </c>
    </row>
    <row r="724" spans="1:25">
      <c r="A724">
        <v>153</v>
      </c>
      <c r="B724">
        <v>3.64</v>
      </c>
      <c r="C724">
        <v>320</v>
      </c>
      <c r="D724">
        <v>73.2</v>
      </c>
      <c r="E724">
        <v>2</v>
      </c>
      <c r="F724">
        <v>2264</v>
      </c>
      <c r="G724" s="35">
        <v>2205</v>
      </c>
      <c r="H724" s="5">
        <v>2350.783491283014</v>
      </c>
      <c r="I724" s="5">
        <v>2350.7836049752618</v>
      </c>
      <c r="J724" s="5">
        <v>2350.8135200690081</v>
      </c>
      <c r="K724" s="5">
        <v>1882.615626789931</v>
      </c>
      <c r="L724" s="5">
        <v>2163.8239231878192</v>
      </c>
      <c r="M724" s="5">
        <v>2205</v>
      </c>
      <c r="N724" s="5">
        <v>2147.357750922914</v>
      </c>
      <c r="O724" s="5">
        <v>2105.7529602545442</v>
      </c>
      <c r="P724">
        <v>2260.2245887836302</v>
      </c>
      <c r="Q724" s="5">
        <v>2030.3451926769119</v>
      </c>
      <c r="R724" s="5">
        <v>2203.7138671875</v>
      </c>
      <c r="S724" s="5">
        <v>2762.6337890625</v>
      </c>
      <c r="T724" s="5">
        <v>2229.7004979983903</v>
      </c>
      <c r="U724" s="5">
        <v>2106.2077905205206</v>
      </c>
      <c r="V724" s="5">
        <v>1793.6935107490792</v>
      </c>
    </row>
    <row r="725" spans="1:25">
      <c r="A725">
        <v>361</v>
      </c>
      <c r="B725">
        <v>4.54</v>
      </c>
      <c r="C725">
        <v>525</v>
      </c>
      <c r="D725">
        <v>41.1</v>
      </c>
      <c r="E725">
        <v>3</v>
      </c>
      <c r="F725">
        <v>7260</v>
      </c>
      <c r="G725" s="35">
        <v>4827.0347562017751</v>
      </c>
      <c r="H725" s="5">
        <v>9478.3122140161613</v>
      </c>
      <c r="I725" s="5">
        <v>9478.3110003834045</v>
      </c>
      <c r="J725" s="5">
        <v>9478.2387440028542</v>
      </c>
      <c r="K725" s="5">
        <v>4535.7142857142853</v>
      </c>
      <c r="L725" s="5">
        <v>7809.2251600017526</v>
      </c>
      <c r="M725" s="5">
        <v>6850.5481877075599</v>
      </c>
      <c r="N725" s="5">
        <v>9073.2485974389547</v>
      </c>
      <c r="O725" s="5">
        <v>6355.8238789757506</v>
      </c>
      <c r="P725">
        <v>7508.823317016524</v>
      </c>
      <c r="Q725" s="5">
        <v>6870</v>
      </c>
      <c r="R725" s="5">
        <v>7254.28759765625</v>
      </c>
      <c r="S725" s="5">
        <v>6433.08642578125</v>
      </c>
      <c r="T725" s="5">
        <v>7172.172004215261</v>
      </c>
      <c r="U725" s="5">
        <v>8054.9211703703713</v>
      </c>
      <c r="V725" s="5">
        <v>7195.0411349591031</v>
      </c>
      <c r="W725" s="5">
        <v>6622.8653925046638</v>
      </c>
      <c r="Y725" s="5">
        <v>5378.4199337406662</v>
      </c>
    </row>
    <row r="726" spans="1:25">
      <c r="A726">
        <v>107.9</v>
      </c>
      <c r="B726">
        <v>4.32</v>
      </c>
      <c r="C726">
        <v>264.89999999999998</v>
      </c>
      <c r="D726">
        <v>18.399999999999999</v>
      </c>
      <c r="E726">
        <v>3.9295644114921222</v>
      </c>
      <c r="F726">
        <v>803</v>
      </c>
      <c r="G726" s="35">
        <v>1161.4082203793059</v>
      </c>
      <c r="H726" s="5">
        <v>104.9022458942281</v>
      </c>
      <c r="I726" s="5">
        <v>104.9026748446072</v>
      </c>
      <c r="J726" s="5">
        <v>104.9433695625758</v>
      </c>
      <c r="K726" s="5">
        <v>906.57142857142856</v>
      </c>
      <c r="L726" s="5">
        <v>842.16426312035776</v>
      </c>
      <c r="M726" s="5">
        <v>873.16819269724817</v>
      </c>
      <c r="N726" s="5">
        <v>977.26536760314798</v>
      </c>
      <c r="O726" s="5">
        <v>920.44234677549616</v>
      </c>
      <c r="P726">
        <v>835.7848014303687</v>
      </c>
      <c r="Q726" s="5">
        <v>809.01451754529978</v>
      </c>
      <c r="R726" s="5">
        <v>944.60797119140625</v>
      </c>
      <c r="S726" s="5">
        <v>1323.36767578125</v>
      </c>
      <c r="T726" s="5">
        <v>925.79800562681339</v>
      </c>
      <c r="U726" s="5">
        <v>745.64511476014093</v>
      </c>
      <c r="V726" s="5">
        <v>669.16040200612156</v>
      </c>
      <c r="W726" s="5">
        <v>633.23043088627492</v>
      </c>
    </row>
    <row r="727" spans="1:25">
      <c r="A727">
        <v>127</v>
      </c>
      <c r="B727">
        <v>2</v>
      </c>
      <c r="C727">
        <v>258</v>
      </c>
      <c r="D727">
        <v>67.760000000000005</v>
      </c>
      <c r="E727">
        <v>3.5039370078740162</v>
      </c>
      <c r="F727">
        <v>1339</v>
      </c>
      <c r="G727" s="35">
        <v>1491</v>
      </c>
      <c r="H727" s="5">
        <v>797.37050889324837</v>
      </c>
      <c r="I727" s="5">
        <v>797.37058943987586</v>
      </c>
      <c r="J727" s="5">
        <v>797.39423906701381</v>
      </c>
      <c r="K727" s="5">
        <v>1335.7</v>
      </c>
      <c r="L727" s="5">
        <v>1438.2958605769229</v>
      </c>
      <c r="M727" s="5">
        <v>1490.1441747572819</v>
      </c>
      <c r="N727" s="5">
        <v>1361.619074110158</v>
      </c>
      <c r="O727" s="5">
        <v>1436.3361583508299</v>
      </c>
      <c r="P727">
        <v>1389.574293795182</v>
      </c>
      <c r="Q727" s="5">
        <v>1330.5878791969651</v>
      </c>
      <c r="R727" s="5">
        <v>1475.126831054688</v>
      </c>
      <c r="S727" s="5">
        <v>1331.4637451171875</v>
      </c>
      <c r="T727" s="5">
        <v>1248.576273467899</v>
      </c>
      <c r="U727" s="5">
        <v>1133.4089064129478</v>
      </c>
      <c r="V727" s="5">
        <v>947.39891554117435</v>
      </c>
      <c r="Y727" s="5">
        <v>954.13657478836888</v>
      </c>
    </row>
    <row r="728" spans="1:25">
      <c r="A728">
        <v>96</v>
      </c>
      <c r="B728">
        <v>5</v>
      </c>
      <c r="C728">
        <v>410.6</v>
      </c>
      <c r="D728">
        <v>39.53</v>
      </c>
      <c r="E728">
        <v>4.166666666666667</v>
      </c>
      <c r="F728">
        <v>1171</v>
      </c>
      <c r="G728" s="35">
        <v>1124.5</v>
      </c>
      <c r="H728" s="5">
        <v>810.01159218792213</v>
      </c>
      <c r="I728" s="5">
        <v>810.01190126798019</v>
      </c>
      <c r="J728" s="5">
        <v>809.97738835686096</v>
      </c>
      <c r="K728" s="5">
        <v>1072.715969949254</v>
      </c>
      <c r="L728" s="5">
        <v>1122.8256188203229</v>
      </c>
      <c r="M728" s="5">
        <v>1124.3641305403589</v>
      </c>
      <c r="N728" s="5">
        <v>1130.9218482450669</v>
      </c>
      <c r="O728" s="5">
        <v>1140.331640395535</v>
      </c>
      <c r="P728">
        <v>1148.7086398309309</v>
      </c>
      <c r="Q728" s="5">
        <v>1054.6580227803749</v>
      </c>
      <c r="R728" s="5">
        <v>1120.235961914062</v>
      </c>
      <c r="S728" s="5">
        <v>1321.4302978515625</v>
      </c>
      <c r="T728" s="5">
        <v>1165.7403881024197</v>
      </c>
      <c r="U728" s="5">
        <v>1180.4353125967536</v>
      </c>
      <c r="V728" s="5">
        <v>1057.032271979313</v>
      </c>
      <c r="W728" s="5">
        <v>1024.1159867054116</v>
      </c>
      <c r="X728" s="5">
        <v>968.39975520099961</v>
      </c>
      <c r="Y728" s="5">
        <v>793.20805296353569</v>
      </c>
    </row>
    <row r="729" spans="1:25">
      <c r="A729">
        <v>190.7</v>
      </c>
      <c r="B729">
        <v>6</v>
      </c>
      <c r="C729">
        <v>505.04247500000002</v>
      </c>
      <c r="D729">
        <v>55.897905000000002</v>
      </c>
      <c r="E729">
        <v>6.0304142632406927</v>
      </c>
      <c r="F729">
        <v>3062.616803943929</v>
      </c>
      <c r="G729" s="35">
        <v>3064.8545364305519</v>
      </c>
      <c r="H729" s="5">
        <v>4809.8160233579019</v>
      </c>
      <c r="I729" s="5">
        <v>4809.8154777503569</v>
      </c>
      <c r="J729" s="5">
        <v>4809.6926666834388</v>
      </c>
      <c r="K729" s="5">
        <v>3044.5147596058018</v>
      </c>
      <c r="L729" s="5">
        <v>3151.3380080425609</v>
      </c>
      <c r="M729" s="5">
        <v>3099.0406829641029</v>
      </c>
      <c r="N729" s="5">
        <v>3017.6778464633398</v>
      </c>
      <c r="O729" s="5">
        <v>3067.5837758614139</v>
      </c>
      <c r="P729">
        <v>3140.2550149754552</v>
      </c>
      <c r="Q729" s="5">
        <v>3208.021071856549</v>
      </c>
      <c r="R729" s="5">
        <v>3072.265380859375</v>
      </c>
      <c r="S729" s="5">
        <v>3020.277587890625</v>
      </c>
      <c r="T729" s="5">
        <v>3381.4819773784875</v>
      </c>
      <c r="U729" s="5">
        <v>4074.590568448104</v>
      </c>
      <c r="V729" s="5">
        <v>3746.996331518445</v>
      </c>
      <c r="W729" s="5">
        <v>3853.7143303517682</v>
      </c>
      <c r="Y729" s="5">
        <v>2971.0072802643122</v>
      </c>
    </row>
    <row r="730" spans="1:25">
      <c r="A730">
        <v>140</v>
      </c>
      <c r="B730">
        <v>5</v>
      </c>
      <c r="C730">
        <v>378.3</v>
      </c>
      <c r="D730">
        <v>30.58</v>
      </c>
      <c r="E730">
        <v>6</v>
      </c>
      <c r="F730">
        <v>1379</v>
      </c>
      <c r="G730" s="35">
        <v>1403.770693967751</v>
      </c>
      <c r="H730" s="5">
        <v>2048.754562719314</v>
      </c>
      <c r="I730" s="5">
        <v>2048.7544395069731</v>
      </c>
      <c r="J730" s="5">
        <v>2048.696712906728</v>
      </c>
      <c r="K730" s="5">
        <v>1649.578090114197</v>
      </c>
      <c r="L730" s="5">
        <v>1439.524012744839</v>
      </c>
      <c r="M730" s="5">
        <v>1385.3358198489759</v>
      </c>
      <c r="N730" s="5">
        <v>1408.8341429749989</v>
      </c>
      <c r="O730" s="5">
        <v>1419.5751086802791</v>
      </c>
      <c r="P730">
        <v>1383.991518314087</v>
      </c>
      <c r="Q730" s="5">
        <v>1477.9796307098759</v>
      </c>
      <c r="R730" s="5">
        <v>1440.608520507812</v>
      </c>
      <c r="S730" s="5">
        <v>1358.1229248046875</v>
      </c>
      <c r="T730" s="5">
        <v>1500.8194310539977</v>
      </c>
      <c r="U730" s="5">
        <v>1705.4812733229041</v>
      </c>
      <c r="V730" s="5">
        <v>1521.7291356010762</v>
      </c>
      <c r="W730" s="5">
        <v>1485.112750857402</v>
      </c>
      <c r="X730" s="5">
        <v>1304.895090782331</v>
      </c>
      <c r="Y730" s="5">
        <v>1155.336455548359</v>
      </c>
    </row>
    <row r="731" spans="1:25">
      <c r="A731">
        <v>108</v>
      </c>
      <c r="B731">
        <v>4.5</v>
      </c>
      <c r="C731">
        <v>409.64</v>
      </c>
      <c r="D731">
        <v>28.6</v>
      </c>
      <c r="E731">
        <v>4.1203703703703702</v>
      </c>
      <c r="F731">
        <v>970.2</v>
      </c>
      <c r="G731" s="35">
        <v>1443.1419795221841</v>
      </c>
      <c r="H731" s="5">
        <v>864.80959997452328</v>
      </c>
      <c r="I731" s="5">
        <v>864.80985703872466</v>
      </c>
      <c r="J731" s="5">
        <v>864.78964360329178</v>
      </c>
      <c r="K731" s="5">
        <v>1293.8222222222221</v>
      </c>
      <c r="L731" s="5">
        <v>1328.155215740079</v>
      </c>
      <c r="M731" s="5">
        <v>1457.0872087378609</v>
      </c>
      <c r="N731" s="5">
        <v>1280.2759754302051</v>
      </c>
      <c r="O731" s="5">
        <v>1258.3613997873599</v>
      </c>
      <c r="P731">
        <v>1302.1758956063779</v>
      </c>
      <c r="Q731" s="5">
        <v>1509.5430339113641</v>
      </c>
      <c r="R731" s="5">
        <v>1303.731201171875</v>
      </c>
      <c r="S731" s="5">
        <v>1214.2916259765625</v>
      </c>
      <c r="T731" s="5">
        <v>1195.5907958215435</v>
      </c>
      <c r="U731" s="5">
        <v>1191.1558234828958</v>
      </c>
      <c r="V731" s="5">
        <v>1069.6086191103561</v>
      </c>
      <c r="W731" s="5">
        <v>1008.4729192276545</v>
      </c>
      <c r="X731" s="5">
        <v>993.42820780938314</v>
      </c>
      <c r="Y731" s="5">
        <v>797.60860100748312</v>
      </c>
    </row>
    <row r="732" spans="1:25">
      <c r="A732">
        <v>273</v>
      </c>
      <c r="B732">
        <v>8</v>
      </c>
      <c r="C732">
        <v>306.7</v>
      </c>
      <c r="D732">
        <v>40.28</v>
      </c>
      <c r="E732">
        <v>4.0293040293040292</v>
      </c>
      <c r="F732">
        <v>5292</v>
      </c>
      <c r="G732" s="35">
        <v>4887.4078917557954</v>
      </c>
      <c r="H732" s="5">
        <v>6896.0152017542459</v>
      </c>
      <c r="I732" s="5">
        <v>6896.0147336146329</v>
      </c>
      <c r="J732" s="5">
        <v>6895.9782592008596</v>
      </c>
      <c r="K732" s="5">
        <v>6896.4076014471329</v>
      </c>
      <c r="L732" s="5">
        <v>5248.5645031344038</v>
      </c>
      <c r="M732" s="5">
        <v>5152.6537779108021</v>
      </c>
      <c r="N732" s="5">
        <v>4752.6021619555559</v>
      </c>
      <c r="O732" s="5">
        <v>5737.9099105532196</v>
      </c>
      <c r="P732">
        <v>5539.3848366557177</v>
      </c>
      <c r="Q732" s="5">
        <v>5093.3205095018866</v>
      </c>
      <c r="R732" s="5">
        <v>5228.56689453125</v>
      </c>
      <c r="S732" s="5">
        <v>5441.138671875</v>
      </c>
      <c r="T732" s="5">
        <v>5402.6366815676174</v>
      </c>
      <c r="U732" s="5">
        <v>5398.6507632621197</v>
      </c>
      <c r="V732" s="5">
        <v>4722.6798477490074</v>
      </c>
      <c r="W732" s="5">
        <v>4916.5190489537272</v>
      </c>
      <c r="X732" s="5">
        <v>4802.7764877458512</v>
      </c>
      <c r="Y732" s="5">
        <v>3978.3477794552282</v>
      </c>
    </row>
    <row r="733" spans="1:25">
      <c r="A733">
        <v>114.3</v>
      </c>
      <c r="B733">
        <v>2.56</v>
      </c>
      <c r="C733">
        <v>329</v>
      </c>
      <c r="D733">
        <v>37.3623262668659</v>
      </c>
      <c r="E733">
        <v>3.9895013123359582</v>
      </c>
      <c r="F733">
        <v>951</v>
      </c>
      <c r="G733" s="35">
        <v>926</v>
      </c>
      <c r="H733" s="5">
        <v>313.28536069378151</v>
      </c>
      <c r="I733" s="5">
        <v>313.28557368071728</v>
      </c>
      <c r="J733" s="5">
        <v>313.3108547408865</v>
      </c>
      <c r="K733" s="5">
        <v>796.52499999999998</v>
      </c>
      <c r="L733" s="5">
        <v>870.25216600084559</v>
      </c>
      <c r="M733" s="5">
        <v>926.37004623208497</v>
      </c>
      <c r="N733" s="5">
        <v>881.224537327907</v>
      </c>
      <c r="O733" s="5">
        <v>874.41113931124119</v>
      </c>
      <c r="P733">
        <v>881.36024932676855</v>
      </c>
      <c r="Q733" s="5">
        <v>878.64088615990761</v>
      </c>
      <c r="R733" s="5">
        <v>915.5279541015625</v>
      </c>
      <c r="S733" s="5">
        <v>892.5247802734375</v>
      </c>
      <c r="T733" s="5">
        <v>877.9190452174247</v>
      </c>
      <c r="U733" s="5">
        <v>828.76329706379397</v>
      </c>
      <c r="V733" s="5">
        <v>721.9200088060669</v>
      </c>
      <c r="W733" s="5">
        <v>785.81941778709393</v>
      </c>
      <c r="X733" s="5">
        <v>743.59095960477259</v>
      </c>
      <c r="Y733" s="5">
        <v>619.80589774391797</v>
      </c>
    </row>
    <row r="734" spans="1:25">
      <c r="A734">
        <v>178</v>
      </c>
      <c r="B734">
        <v>9</v>
      </c>
      <c r="C734">
        <v>283.31411850000001</v>
      </c>
      <c r="D734">
        <v>22.163029000000002</v>
      </c>
      <c r="E734">
        <v>2.02247191011236</v>
      </c>
      <c r="F734">
        <v>2853.73515833392</v>
      </c>
      <c r="G734" s="35">
        <v>2922.3817085343921</v>
      </c>
      <c r="H734" s="5">
        <v>3750.030346899367</v>
      </c>
      <c r="I734" s="5">
        <v>3750.030717260528</v>
      </c>
      <c r="J734" s="5">
        <v>3750.0491877544082</v>
      </c>
      <c r="K734" s="5">
        <v>2415.6332274022352</v>
      </c>
      <c r="L734" s="5">
        <v>2935.4378993363471</v>
      </c>
      <c r="M734" s="5">
        <v>2922.3817085343931</v>
      </c>
      <c r="N734" s="5">
        <v>3149.4247850212669</v>
      </c>
      <c r="O734" s="5">
        <v>2926.4886035657241</v>
      </c>
      <c r="P734">
        <v>2833.7897817855219</v>
      </c>
      <c r="Q734" s="5">
        <v>2906.2871609109661</v>
      </c>
      <c r="R734" s="5">
        <v>2915.62890625</v>
      </c>
      <c r="S734" s="5">
        <v>3547.362060546875</v>
      </c>
      <c r="T734" s="5">
        <v>3024.9481807211655</v>
      </c>
      <c r="U734" s="5">
        <v>2638.7337507368384</v>
      </c>
      <c r="V734" s="5">
        <v>2371.4443690054336</v>
      </c>
      <c r="W734" s="5">
        <v>2200.2710241607074</v>
      </c>
      <c r="Y734" s="5">
        <v>1772.8431933742111</v>
      </c>
    </row>
    <row r="735" spans="1:25">
      <c r="A735">
        <v>114.3</v>
      </c>
      <c r="B735">
        <v>3.6</v>
      </c>
      <c r="C735">
        <v>428</v>
      </c>
      <c r="D735">
        <v>168.29499999999999</v>
      </c>
      <c r="E735">
        <v>2.1872265966754161</v>
      </c>
      <c r="F735">
        <v>2610</v>
      </c>
      <c r="G735" s="35">
        <v>2414.1936061842298</v>
      </c>
      <c r="H735" s="5">
        <v>3021.3576956131128</v>
      </c>
      <c r="I735" s="5">
        <v>3021.3576684529912</v>
      </c>
      <c r="J735" s="5">
        <v>3021.2960102634729</v>
      </c>
      <c r="K735" s="5">
        <v>1986.818181818182</v>
      </c>
      <c r="L735" s="5">
        <v>2427.8705625674002</v>
      </c>
      <c r="M735" s="5">
        <v>2416.8957273398059</v>
      </c>
      <c r="N735" s="5">
        <v>2358.893241308017</v>
      </c>
      <c r="O735" s="5">
        <v>2211.87863523442</v>
      </c>
      <c r="P735">
        <v>2169.2991827944979</v>
      </c>
      <c r="Q735" s="5">
        <v>2165.0282744317292</v>
      </c>
      <c r="R735" s="5">
        <v>2137.656982421875</v>
      </c>
      <c r="S735" s="5">
        <v>2100.51318359375</v>
      </c>
      <c r="T735" s="5">
        <v>2404.0065785439556</v>
      </c>
      <c r="U735" s="5">
        <v>2287.7674893108083</v>
      </c>
      <c r="V735" s="5">
        <v>2013.0176099728565</v>
      </c>
    </row>
    <row r="736" spans="1:25">
      <c r="A736">
        <v>301</v>
      </c>
      <c r="B736">
        <v>2.96</v>
      </c>
      <c r="C736">
        <v>279</v>
      </c>
      <c r="D736">
        <v>80.3</v>
      </c>
      <c r="E736">
        <v>3</v>
      </c>
      <c r="F736">
        <v>5540</v>
      </c>
      <c r="G736" s="35">
        <v>3271.6797491095608</v>
      </c>
      <c r="H736" s="5">
        <v>6870.0461487798211</v>
      </c>
      <c r="I736" s="5">
        <v>6870.0452788000866</v>
      </c>
      <c r="J736" s="5">
        <v>6870.0825241230796</v>
      </c>
      <c r="K736" s="5">
        <v>3024.571428571428</v>
      </c>
      <c r="L736" s="5">
        <v>4415.5369166703367</v>
      </c>
      <c r="M736" s="5">
        <v>4993.0543689320384</v>
      </c>
      <c r="N736" s="5">
        <v>4225.6647227926014</v>
      </c>
      <c r="O736" s="5">
        <v>4309.1373016143534</v>
      </c>
      <c r="P736">
        <v>4935.3257589517816</v>
      </c>
      <c r="Q736" s="5">
        <v>4101.9999999999991</v>
      </c>
      <c r="R736" s="5">
        <v>4239.0224609375</v>
      </c>
      <c r="S736" s="5">
        <v>7612.33349609375</v>
      </c>
      <c r="T736" s="5">
        <v>6159.2905691087672</v>
      </c>
      <c r="U736" s="5">
        <v>6744.0901759252911</v>
      </c>
      <c r="V736" s="5">
        <v>5551.4547305423539</v>
      </c>
    </row>
    <row r="737" spans="1:25">
      <c r="A737">
        <v>273</v>
      </c>
      <c r="B737">
        <v>8</v>
      </c>
      <c r="C737">
        <v>307</v>
      </c>
      <c r="D737">
        <v>26.39538963236653</v>
      </c>
      <c r="E737">
        <v>4.0293040293040292</v>
      </c>
      <c r="F737">
        <v>5296</v>
      </c>
      <c r="G737" s="35">
        <v>4927.2902919204298</v>
      </c>
      <c r="H737" s="5">
        <v>6652.7735819538857</v>
      </c>
      <c r="I737" s="5">
        <v>6652.7731631187871</v>
      </c>
      <c r="J737" s="5">
        <v>6652.7476004369464</v>
      </c>
      <c r="K737" s="5">
        <v>5027.1662153669286</v>
      </c>
      <c r="L737" s="5">
        <v>5030.7737787778105</v>
      </c>
      <c r="M737" s="5">
        <v>5186.6436207509314</v>
      </c>
      <c r="N737" s="5">
        <v>4696.4534297642831</v>
      </c>
      <c r="O737" s="5">
        <v>4917.2564195776158</v>
      </c>
      <c r="P737">
        <v>5088.5289732610763</v>
      </c>
      <c r="Q737" s="5">
        <v>4902.052463663932</v>
      </c>
      <c r="R737" s="5">
        <v>4839.37548828125</v>
      </c>
      <c r="S737" s="5">
        <v>5221.81591796875</v>
      </c>
      <c r="T737" s="5">
        <v>4843.5449562514041</v>
      </c>
      <c r="U737" s="5">
        <v>4681.6267327512569</v>
      </c>
      <c r="V737" s="5">
        <v>4149.4555622745911</v>
      </c>
      <c r="W737" s="5">
        <v>4065.0367824090144</v>
      </c>
      <c r="Y737" s="5">
        <v>3309.3034845282441</v>
      </c>
    </row>
    <row r="738" spans="1:25">
      <c r="A738">
        <v>112.56</v>
      </c>
      <c r="B738">
        <v>2.89</v>
      </c>
      <c r="C738">
        <v>360</v>
      </c>
      <c r="D738">
        <v>24.112171481524499</v>
      </c>
      <c r="E738">
        <v>3.020611229566454</v>
      </c>
      <c r="F738">
        <v>686</v>
      </c>
      <c r="G738" s="35">
        <v>725.16297060178556</v>
      </c>
      <c r="H738" s="5">
        <v>187.77255076073649</v>
      </c>
      <c r="I738" s="5">
        <v>187.77293962147499</v>
      </c>
      <c r="J738" s="5">
        <v>187.8289128230081</v>
      </c>
      <c r="K738" s="5">
        <v>741.5</v>
      </c>
      <c r="L738" s="5">
        <v>719.86286672055633</v>
      </c>
      <c r="M738" s="5">
        <v>722.32400601017105</v>
      </c>
      <c r="N738" s="5">
        <v>714.6625434358881</v>
      </c>
      <c r="O738" s="5">
        <v>640.53529661746995</v>
      </c>
      <c r="P738">
        <v>698.18708426986132</v>
      </c>
      <c r="Q738" s="5">
        <v>797.65832583141946</v>
      </c>
      <c r="R738" s="5">
        <v>677.47906494140625</v>
      </c>
      <c r="S738" s="5">
        <v>756.3271484375</v>
      </c>
      <c r="T738" s="5">
        <v>862.2378478188532</v>
      </c>
      <c r="U738" s="5">
        <v>796.62821510833658</v>
      </c>
      <c r="V738" s="5">
        <v>708.45703546155437</v>
      </c>
      <c r="W738" s="5">
        <v>695.81621459483597</v>
      </c>
      <c r="Y738" s="5">
        <v>559.80377544502289</v>
      </c>
    </row>
    <row r="739" spans="1:25">
      <c r="A739">
        <v>57.15</v>
      </c>
      <c r="B739">
        <v>1.25</v>
      </c>
      <c r="C739">
        <v>250</v>
      </c>
      <c r="D739">
        <v>48.56</v>
      </c>
      <c r="E739">
        <v>6.1242344706911638</v>
      </c>
      <c r="F739">
        <v>165.26</v>
      </c>
      <c r="G739" s="35">
        <v>170.98398097775339</v>
      </c>
      <c r="H739" s="5">
        <v>-1840.8764540406139</v>
      </c>
      <c r="I739" s="5">
        <v>-1840.876209924254</v>
      </c>
      <c r="J739" s="5">
        <v>-1840.880474786547</v>
      </c>
      <c r="K739" s="5">
        <v>169.12285714285721</v>
      </c>
      <c r="L739" s="5">
        <v>169.5829999999988</v>
      </c>
      <c r="M739" s="5">
        <v>171.15786407767041</v>
      </c>
      <c r="N739" s="5">
        <v>173.8800708908197</v>
      </c>
      <c r="O739" s="5">
        <v>166.8381151174749</v>
      </c>
      <c r="P739">
        <v>162.63696914164319</v>
      </c>
      <c r="Q739" s="5">
        <v>171.99999999999989</v>
      </c>
      <c r="R739" s="5">
        <v>169.28153991699219</v>
      </c>
      <c r="S739" s="5">
        <v>-70.812484741210938</v>
      </c>
      <c r="T739" s="5">
        <v>161.55723640781463</v>
      </c>
      <c r="U739" s="5">
        <v>202.81170944444091</v>
      </c>
      <c r="V739" s="5">
        <v>173.19041356223389</v>
      </c>
      <c r="W739" s="5">
        <v>202.78793431537093</v>
      </c>
      <c r="X739" s="5">
        <v>173.09082086233181</v>
      </c>
      <c r="Y739" s="5">
        <v>158.10580106612451</v>
      </c>
    </row>
    <row r="740" spans="1:25">
      <c r="A740">
        <v>101.6</v>
      </c>
      <c r="B740">
        <v>3</v>
      </c>
      <c r="C740">
        <v>425.03</v>
      </c>
      <c r="D740">
        <v>34.04</v>
      </c>
      <c r="E740">
        <v>2.9527559055118111</v>
      </c>
      <c r="F740">
        <v>703.3</v>
      </c>
      <c r="G740" s="35">
        <v>759.38604129322812</v>
      </c>
      <c r="H740" s="5">
        <v>291.28433305278901</v>
      </c>
      <c r="I740" s="5">
        <v>291.28465805184032</v>
      </c>
      <c r="J740" s="5">
        <v>291.30742168471397</v>
      </c>
      <c r="K740" s="5">
        <v>743.71428571428567</v>
      </c>
      <c r="L740" s="5">
        <v>739.00066919698861</v>
      </c>
      <c r="M740" s="5">
        <v>743.7323551041361</v>
      </c>
      <c r="N740" s="5">
        <v>751.33493146268916</v>
      </c>
      <c r="O740" s="5">
        <v>751.3566459670335</v>
      </c>
      <c r="P740">
        <v>753.46993543777705</v>
      </c>
      <c r="Q740" s="5">
        <v>816.95785394228938</v>
      </c>
      <c r="R740" s="5">
        <v>836.1363525390625</v>
      </c>
      <c r="S740" s="5">
        <v>866.924560546875</v>
      </c>
      <c r="T740" s="5">
        <v>937.24647232788482</v>
      </c>
      <c r="U740" s="5">
        <v>884.19694673728407</v>
      </c>
      <c r="V740" s="5">
        <v>785.40806511523567</v>
      </c>
      <c r="W740" s="5">
        <v>790.72420719251011</v>
      </c>
      <c r="X740" s="5">
        <v>807.17560019573318</v>
      </c>
      <c r="Y740" s="5">
        <v>622.35466794650858</v>
      </c>
    </row>
    <row r="741" spans="1:25">
      <c r="A741">
        <v>166</v>
      </c>
      <c r="B741">
        <v>5</v>
      </c>
      <c r="C741">
        <v>288.10000000000002</v>
      </c>
      <c r="D741">
        <v>37.75</v>
      </c>
      <c r="E741">
        <v>6.2650602409638552</v>
      </c>
      <c r="F741">
        <v>1627</v>
      </c>
      <c r="G741" s="35">
        <v>1664.2581495193849</v>
      </c>
      <c r="H741" s="5">
        <v>2751.7174199270671</v>
      </c>
      <c r="I741" s="5">
        <v>2751.7171593568869</v>
      </c>
      <c r="J741" s="5">
        <v>2751.6601127651079</v>
      </c>
      <c r="K741" s="5">
        <v>1669.83523297134</v>
      </c>
      <c r="L741" s="5">
        <v>1642.5633114981181</v>
      </c>
      <c r="M741" s="5">
        <v>1610.0613499768849</v>
      </c>
      <c r="N741" s="5">
        <v>1499.0745088663871</v>
      </c>
      <c r="O741" s="5">
        <v>1669.1069048251341</v>
      </c>
      <c r="P741">
        <v>1497.740908077951</v>
      </c>
      <c r="Q741" s="5">
        <v>1751.694085192393</v>
      </c>
      <c r="R741" s="5">
        <v>1615.438232421875</v>
      </c>
      <c r="S741" s="5">
        <v>1957.9730224609375</v>
      </c>
      <c r="T741" s="5">
        <v>1702.546874370641</v>
      </c>
      <c r="U741" s="5">
        <v>1901.8643035499535</v>
      </c>
      <c r="V741" s="5">
        <v>1665.3685279406441</v>
      </c>
      <c r="W741" s="5">
        <v>1773.4042732469406</v>
      </c>
      <c r="X741" s="5">
        <v>1533.686596814081</v>
      </c>
      <c r="Y741" s="5">
        <v>1374.945647392276</v>
      </c>
    </row>
    <row r="742" spans="1:25">
      <c r="A742">
        <v>219.1</v>
      </c>
      <c r="B742">
        <v>6.3</v>
      </c>
      <c r="C742">
        <v>300</v>
      </c>
      <c r="D742">
        <v>130.4</v>
      </c>
      <c r="E742">
        <v>2.7384755819260609</v>
      </c>
      <c r="F742">
        <v>6916</v>
      </c>
      <c r="G742" s="35">
        <v>7318.8723313407336</v>
      </c>
      <c r="H742" s="5">
        <v>6189.7406456766967</v>
      </c>
      <c r="I742" s="5">
        <v>6189.7402555764493</v>
      </c>
      <c r="J742" s="5">
        <v>6189.6842411940142</v>
      </c>
      <c r="K742" s="5">
        <v>7656.5555555555557</v>
      </c>
      <c r="L742" s="5">
        <v>7413.7059592490859</v>
      </c>
      <c r="M742" s="5">
        <v>7138.7373786407761</v>
      </c>
      <c r="N742" s="5">
        <v>7365.0187109417402</v>
      </c>
      <c r="O742" s="5">
        <v>7375.9910121957191</v>
      </c>
      <c r="P742">
        <v>6826.3727581532848</v>
      </c>
      <c r="Q742" s="5">
        <v>7187.2667528961256</v>
      </c>
      <c r="R742" s="5">
        <v>7276.814453125</v>
      </c>
      <c r="S742" s="5">
        <v>6644.97216796875</v>
      </c>
      <c r="T742" s="5">
        <v>6482.5786395411624</v>
      </c>
      <c r="U742" s="5">
        <v>6186.7190290877052</v>
      </c>
      <c r="V742" s="5">
        <v>5381.2352051861317</v>
      </c>
    </row>
    <row r="743" spans="1:25">
      <c r="A743">
        <v>140</v>
      </c>
      <c r="B743">
        <v>5.3</v>
      </c>
      <c r="C743">
        <v>378.3</v>
      </c>
      <c r="D743">
        <v>21.86</v>
      </c>
      <c r="E743">
        <v>6</v>
      </c>
      <c r="F743">
        <v>1326</v>
      </c>
      <c r="G743" s="35">
        <v>1443.4994636099029</v>
      </c>
      <c r="H743" s="5">
        <v>2042.575990533169</v>
      </c>
      <c r="I743" s="5">
        <v>2042.575928089012</v>
      </c>
      <c r="J743" s="5">
        <v>2042.525524721128</v>
      </c>
      <c r="K743" s="5">
        <v>1374.065439272727</v>
      </c>
      <c r="L743" s="5">
        <v>1390.5298804209301</v>
      </c>
      <c r="M743" s="5">
        <v>1442.3776699029131</v>
      </c>
      <c r="N743" s="5">
        <v>1386.683801480923</v>
      </c>
      <c r="O743" s="5">
        <v>1443.323683491551</v>
      </c>
      <c r="P743">
        <v>1349.1889442851141</v>
      </c>
      <c r="Q743" s="5">
        <v>1479.097725621376</v>
      </c>
      <c r="R743" s="5">
        <v>1303.941284179688</v>
      </c>
      <c r="S743" s="5">
        <v>1426.684814453125</v>
      </c>
      <c r="T743" s="5">
        <v>1498.7486622706458</v>
      </c>
      <c r="U743" s="5">
        <v>1661.9804731875131</v>
      </c>
      <c r="V743" s="5">
        <v>1495.5559274710938</v>
      </c>
      <c r="W743" s="5">
        <v>1369.1109227835379</v>
      </c>
      <c r="Y743" s="5">
        <v>1092.6992693686409</v>
      </c>
    </row>
    <row r="744" spans="1:25">
      <c r="A744">
        <v>108</v>
      </c>
      <c r="B744">
        <v>4</v>
      </c>
      <c r="C744">
        <v>337.61</v>
      </c>
      <c r="D744">
        <v>36.299999999999997</v>
      </c>
      <c r="E744">
        <v>7</v>
      </c>
      <c r="F744">
        <v>785</v>
      </c>
      <c r="G744" s="35">
        <v>760.20354004914498</v>
      </c>
      <c r="H744" s="5">
        <v>700.76011953720536</v>
      </c>
      <c r="I744" s="5">
        <v>700.76005423684842</v>
      </c>
      <c r="J744" s="5">
        <v>700.6913958548198</v>
      </c>
      <c r="K744" s="5">
        <v>798.0724507562602</v>
      </c>
      <c r="L744" s="5">
        <v>870.76593145030108</v>
      </c>
      <c r="M744" s="5">
        <v>844.92057618074398</v>
      </c>
      <c r="N744" s="5">
        <v>968.03201585329759</v>
      </c>
      <c r="O744" s="5">
        <v>993.26210119834923</v>
      </c>
      <c r="P744">
        <v>848.51212208241452</v>
      </c>
      <c r="Q744" s="5">
        <v>924.43382805248609</v>
      </c>
      <c r="R744" s="5">
        <v>947.5836181640625</v>
      </c>
      <c r="S744" s="5">
        <v>788.58251953125</v>
      </c>
      <c r="T744" s="5">
        <v>875.72568062345397</v>
      </c>
      <c r="U744" s="5">
        <v>999.88138922028691</v>
      </c>
      <c r="V744" s="5">
        <v>886.30378525806532</v>
      </c>
      <c r="W744" s="5">
        <v>913.19391286646942</v>
      </c>
      <c r="X744" s="5">
        <v>746.12395440214891</v>
      </c>
      <c r="Y744" s="5">
        <v>686.70951216018454</v>
      </c>
    </row>
    <row r="745" spans="1:25">
      <c r="A745">
        <v>108</v>
      </c>
      <c r="B745">
        <v>4.5</v>
      </c>
      <c r="C745">
        <v>400</v>
      </c>
      <c r="D745">
        <v>39.35107397329012</v>
      </c>
      <c r="E745">
        <v>6.4814814814814818</v>
      </c>
      <c r="F745">
        <v>1200</v>
      </c>
      <c r="G745" s="35">
        <v>1280.6887041745331</v>
      </c>
      <c r="H745" s="5">
        <v>1172.006581258167</v>
      </c>
      <c r="I745" s="5">
        <v>1172.006534954372</v>
      </c>
      <c r="J745" s="5">
        <v>1171.932001929225</v>
      </c>
      <c r="K745" s="5">
        <v>776.45418598313825</v>
      </c>
      <c r="L745" s="5">
        <v>980.2803829559183</v>
      </c>
      <c r="M745" s="5">
        <v>1028.0699416249849</v>
      </c>
      <c r="N745" s="5">
        <v>1130.734102899735</v>
      </c>
      <c r="O745" s="5">
        <v>1138.850724803425</v>
      </c>
      <c r="P745">
        <v>1045.449930459155</v>
      </c>
      <c r="Q745" s="5">
        <v>1260.0198596152511</v>
      </c>
      <c r="R745" s="5">
        <v>1087.824584960938</v>
      </c>
      <c r="S745" s="5">
        <v>1261.168212890625</v>
      </c>
      <c r="T745" s="5">
        <v>1089.7961211455438</v>
      </c>
      <c r="U745" s="5">
        <v>1251.0637786886716</v>
      </c>
      <c r="V745" s="5">
        <v>1114.7890761918704</v>
      </c>
      <c r="W745" s="5">
        <v>1114.8403206220382</v>
      </c>
      <c r="X745" s="5">
        <v>919.90338131279532</v>
      </c>
      <c r="Y745" s="5">
        <v>842.98182846654277</v>
      </c>
    </row>
    <row r="746" spans="1:25">
      <c r="A746">
        <v>199</v>
      </c>
      <c r="B746">
        <v>3.2</v>
      </c>
      <c r="C746">
        <v>265</v>
      </c>
      <c r="D746">
        <v>24.638000000000002</v>
      </c>
      <c r="E746">
        <v>4.1959798994974884</v>
      </c>
      <c r="F746">
        <v>1535</v>
      </c>
      <c r="G746" s="35">
        <v>1416.1476982696281</v>
      </c>
      <c r="H746" s="5">
        <v>2866.7577615009709</v>
      </c>
      <c r="I746" s="5">
        <v>2866.7575349435788</v>
      </c>
      <c r="J746" s="5">
        <v>2866.7768204599352</v>
      </c>
      <c r="K746" s="5">
        <v>2282.1</v>
      </c>
      <c r="L746" s="5">
        <v>1681.312556635374</v>
      </c>
      <c r="M746" s="5">
        <v>1770.6605953399221</v>
      </c>
      <c r="N746" s="5">
        <v>1432.060020100176</v>
      </c>
      <c r="O746" s="5">
        <v>1496.052143884541</v>
      </c>
      <c r="P746">
        <v>1628.55840129033</v>
      </c>
      <c r="Q746" s="5">
        <v>1707.4741638643329</v>
      </c>
      <c r="R746" s="5">
        <v>1512.784423828125</v>
      </c>
      <c r="S746" s="5">
        <v>1605.3062744140625</v>
      </c>
      <c r="T746" s="5">
        <v>1563.8136250005466</v>
      </c>
      <c r="U746" s="5">
        <v>1562.8398733828994</v>
      </c>
      <c r="V746" s="5">
        <v>1354.9330956509955</v>
      </c>
      <c r="W746" s="5">
        <v>1283.2408359295782</v>
      </c>
      <c r="Y746" s="5">
        <v>1188.840141557926</v>
      </c>
    </row>
    <row r="747" spans="1:25">
      <c r="A747">
        <v>90</v>
      </c>
      <c r="B747">
        <v>1.2</v>
      </c>
      <c r="C747">
        <v>328.95</v>
      </c>
      <c r="D747">
        <v>34.707976474137219</v>
      </c>
      <c r="E747">
        <v>3.333333333333333</v>
      </c>
      <c r="F747">
        <v>360.5</v>
      </c>
      <c r="G747" s="35">
        <v>358.1</v>
      </c>
      <c r="H747" s="5">
        <v>-847.62958707284361</v>
      </c>
      <c r="I747" s="5">
        <v>-847.62923833697323</v>
      </c>
      <c r="J747" s="5">
        <v>-847.57498891277692</v>
      </c>
      <c r="K747" s="5">
        <v>416.24422164666657</v>
      </c>
      <c r="L747" s="5">
        <v>359.38670415281388</v>
      </c>
      <c r="M747" s="5">
        <v>358.09733009708708</v>
      </c>
      <c r="N747" s="5">
        <v>351.94023470648119</v>
      </c>
      <c r="O747" s="5">
        <v>362.22125864830713</v>
      </c>
      <c r="P747">
        <v>348.80048784429317</v>
      </c>
      <c r="Q747" s="5">
        <v>381.40000000000009</v>
      </c>
      <c r="R747" s="5">
        <v>356.60336303710938</v>
      </c>
      <c r="S747" s="5">
        <v>368.8994140625</v>
      </c>
      <c r="T747" s="5">
        <v>491.09158426126578</v>
      </c>
      <c r="U747" s="5">
        <v>387.58107486429151</v>
      </c>
      <c r="V747" s="5">
        <v>332.22559437003372</v>
      </c>
      <c r="W747" s="5">
        <v>342.41132441075229</v>
      </c>
      <c r="X747" s="5">
        <v>364.47031789837831</v>
      </c>
      <c r="Y747" s="5">
        <v>305.68739104851272</v>
      </c>
    </row>
    <row r="748" spans="1:25">
      <c r="A748">
        <v>273</v>
      </c>
      <c r="B748">
        <v>8</v>
      </c>
      <c r="C748">
        <v>306.94814500000001</v>
      </c>
      <c r="D748">
        <v>28.813899030000002</v>
      </c>
      <c r="E748">
        <v>4.0293040293040292</v>
      </c>
      <c r="F748">
        <v>5579.9838662955344</v>
      </c>
      <c r="G748" s="35">
        <v>4915.8811923935018</v>
      </c>
      <c r="H748" s="5">
        <v>6695.1442945515582</v>
      </c>
      <c r="I748" s="5">
        <v>6695.1438671278866</v>
      </c>
      <c r="J748" s="5">
        <v>6695.1164036783639</v>
      </c>
      <c r="K748" s="5">
        <v>5027.1662153669286</v>
      </c>
      <c r="L748" s="5">
        <v>5074.477029563348</v>
      </c>
      <c r="M748" s="5">
        <v>5161.1479775849857</v>
      </c>
      <c r="N748" s="5">
        <v>5211.1434703496934</v>
      </c>
      <c r="O748" s="5">
        <v>5331.8747517491347</v>
      </c>
      <c r="P748">
        <v>5356.9540229210952</v>
      </c>
      <c r="Q748" s="5">
        <v>4905.7880251070274</v>
      </c>
      <c r="R748" s="5">
        <v>5217.73291015625</v>
      </c>
      <c r="S748" s="5">
        <v>5207.54345703125</v>
      </c>
      <c r="T748" s="5">
        <v>4939.6148099794127</v>
      </c>
      <c r="U748" s="5">
        <v>4806.5268464917317</v>
      </c>
      <c r="V748" s="5">
        <v>4249.3073880721822</v>
      </c>
      <c r="W748" s="5">
        <v>4221.0705155416208</v>
      </c>
      <c r="X748" s="5">
        <v>4257.7427918296708</v>
      </c>
      <c r="Y748" s="5">
        <v>3425.9797878502709</v>
      </c>
    </row>
    <row r="749" spans="1:25">
      <c r="A749">
        <v>165</v>
      </c>
      <c r="B749">
        <v>2.76</v>
      </c>
      <c r="C749">
        <v>350</v>
      </c>
      <c r="D749">
        <v>68.7</v>
      </c>
      <c r="E749">
        <v>3.0909090909090908</v>
      </c>
      <c r="F749">
        <v>2250</v>
      </c>
      <c r="G749" s="35">
        <v>2060</v>
      </c>
      <c r="H749" s="5">
        <v>2634.337324211323</v>
      </c>
      <c r="I749" s="5">
        <v>2634.337192317289</v>
      </c>
      <c r="J749" s="5">
        <v>2634.341361069673</v>
      </c>
      <c r="K749" s="5">
        <v>2365.8375000000001</v>
      </c>
      <c r="L749" s="5">
        <v>2074.9320098210269</v>
      </c>
      <c r="M749" s="5">
        <v>2060.091584315765</v>
      </c>
      <c r="N749" s="5">
        <v>2234.118261384629</v>
      </c>
      <c r="O749" s="5">
        <v>2141.1177656397258</v>
      </c>
      <c r="P749">
        <v>2181.954535818837</v>
      </c>
      <c r="Q749" s="5">
        <v>2159.1010254902112</v>
      </c>
      <c r="R749" s="5">
        <v>2069.200927734375</v>
      </c>
      <c r="S749" s="5">
        <v>2147.785400390625</v>
      </c>
      <c r="T749" s="5">
        <v>2231.190375282099</v>
      </c>
      <c r="U749" s="5">
        <v>2169.9588196930281</v>
      </c>
      <c r="V749" s="5">
        <v>1834.6874399899941</v>
      </c>
      <c r="W749" s="5">
        <v>1874.7379792015111</v>
      </c>
      <c r="Y749" s="5">
        <v>1775.5888051347879</v>
      </c>
    </row>
    <row r="750" spans="1:25">
      <c r="A750">
        <v>100</v>
      </c>
      <c r="B750">
        <v>3</v>
      </c>
      <c r="C750">
        <v>303.5</v>
      </c>
      <c r="D750">
        <v>32.457457285750117</v>
      </c>
      <c r="E750">
        <v>3</v>
      </c>
      <c r="F750">
        <v>708</v>
      </c>
      <c r="G750" s="35">
        <v>804.66666666666663</v>
      </c>
      <c r="H750" s="5">
        <v>-203.91516886007909</v>
      </c>
      <c r="I750" s="5">
        <v>-203.91473033395459</v>
      </c>
      <c r="J750" s="5">
        <v>-203.86041802122509</v>
      </c>
      <c r="K750" s="5">
        <v>730.52499999999998</v>
      </c>
      <c r="L750" s="5">
        <v>795.9417871696794</v>
      </c>
      <c r="M750" s="5">
        <v>803.20333961744325</v>
      </c>
      <c r="N750" s="5">
        <v>772.56400459736301</v>
      </c>
      <c r="O750" s="5">
        <v>812.76958430662614</v>
      </c>
      <c r="P750">
        <v>764.46970256949123</v>
      </c>
      <c r="Q750" s="5">
        <v>731.16258868239072</v>
      </c>
      <c r="R750" s="5">
        <v>804.49566650390625</v>
      </c>
      <c r="S750" s="5">
        <v>742.0341796875</v>
      </c>
      <c r="T750" s="5">
        <v>784.62523113556176</v>
      </c>
      <c r="U750" s="5">
        <v>674.73396984035924</v>
      </c>
      <c r="V750" s="5">
        <v>594.58538281739277</v>
      </c>
      <c r="W750" s="5">
        <v>629.45225878916744</v>
      </c>
      <c r="X750" s="5">
        <v>629.33383803399397</v>
      </c>
      <c r="Y750" s="5">
        <v>488.35470424307027</v>
      </c>
    </row>
    <row r="751" spans="1:25">
      <c r="A751">
        <v>166</v>
      </c>
      <c r="B751">
        <v>5</v>
      </c>
      <c r="C751">
        <v>274.60000000000002</v>
      </c>
      <c r="D751">
        <v>18.720078217418219</v>
      </c>
      <c r="E751">
        <v>3.975903614457831</v>
      </c>
      <c r="F751">
        <v>1934</v>
      </c>
      <c r="G751" s="35">
        <v>1848.666666666667</v>
      </c>
      <c r="H751" s="5">
        <v>2182.3735648634702</v>
      </c>
      <c r="I751" s="5">
        <v>2182.373689028032</v>
      </c>
      <c r="J751" s="5">
        <v>2182.396597889714</v>
      </c>
      <c r="K751" s="5">
        <v>1845.017711946015</v>
      </c>
      <c r="L751" s="5">
        <v>1884.542898785623</v>
      </c>
      <c r="M751" s="5">
        <v>1882.6813010457911</v>
      </c>
      <c r="N751" s="5">
        <v>1908.110309459086</v>
      </c>
      <c r="O751" s="5">
        <v>1888.866111901046</v>
      </c>
      <c r="P751">
        <v>1887.7301229818911</v>
      </c>
      <c r="Q751" s="5">
        <v>1769.399220765813</v>
      </c>
      <c r="R751" s="5">
        <v>1881.509521484375</v>
      </c>
      <c r="S751" s="5">
        <v>1805.3082275390625</v>
      </c>
      <c r="T751" s="5">
        <v>1679.9889098782562</v>
      </c>
      <c r="U751" s="5">
        <v>1482.8280124552666</v>
      </c>
      <c r="V751" s="5">
        <v>1323.3975976374068</v>
      </c>
      <c r="W751" s="5">
        <v>1267.3536181476302</v>
      </c>
    </row>
    <row r="752" spans="1:25">
      <c r="A752">
        <v>127.3</v>
      </c>
      <c r="B752">
        <v>1.63</v>
      </c>
      <c r="C752">
        <v>376</v>
      </c>
      <c r="D752">
        <v>67.2</v>
      </c>
      <c r="E752">
        <v>5.5852317360565591</v>
      </c>
      <c r="F752">
        <v>1285</v>
      </c>
      <c r="G752" s="35">
        <v>1315.3240227358431</v>
      </c>
      <c r="H752" s="5">
        <v>1210.2008300372461</v>
      </c>
      <c r="I752" s="5">
        <v>1210.200558190048</v>
      </c>
      <c r="J752" s="5">
        <v>1210.1465645833241</v>
      </c>
      <c r="K752" s="5">
        <v>2082.636363636364</v>
      </c>
      <c r="L752" s="5">
        <v>1590.165075301089</v>
      </c>
      <c r="M752" s="5">
        <v>1382.12071197411</v>
      </c>
      <c r="N752" s="5">
        <v>1379.818005041431</v>
      </c>
      <c r="O752" s="5">
        <v>1347.670962559323</v>
      </c>
      <c r="P752">
        <v>1377.76551921748</v>
      </c>
      <c r="Q752" s="5">
        <v>1409.927677359356</v>
      </c>
      <c r="R752" s="5">
        <v>1423.838623046875</v>
      </c>
      <c r="S752" s="5">
        <v>1038.06103515625</v>
      </c>
      <c r="T752" s="5">
        <v>1193.328683866619</v>
      </c>
      <c r="U752" s="5">
        <v>1204.0370703745889</v>
      </c>
      <c r="V752" s="5">
        <v>1011.9501360159727</v>
      </c>
      <c r="W752" s="5">
        <v>1076.1416153432185</v>
      </c>
      <c r="Y752" s="5">
        <v>972.21835127354655</v>
      </c>
    </row>
    <row r="753" spans="1:25">
      <c r="A753">
        <v>100</v>
      </c>
      <c r="B753">
        <v>3</v>
      </c>
      <c r="C753">
        <v>303.5</v>
      </c>
      <c r="D753">
        <v>46.8</v>
      </c>
      <c r="E753">
        <v>3</v>
      </c>
      <c r="F753">
        <v>820</v>
      </c>
      <c r="G753" s="35">
        <v>762.66666666666663</v>
      </c>
      <c r="H753" s="5">
        <v>59.605713036341058</v>
      </c>
      <c r="I753" s="5">
        <v>59.606117426302717</v>
      </c>
      <c r="J753" s="5">
        <v>59.646014331933202</v>
      </c>
      <c r="K753" s="5">
        <v>793.28571428571433</v>
      </c>
      <c r="L753" s="5">
        <v>766.51557311570696</v>
      </c>
      <c r="M753" s="5">
        <v>763.63744141666689</v>
      </c>
      <c r="N753" s="5">
        <v>809.67572006297053</v>
      </c>
      <c r="O753" s="5">
        <v>776.49545840392375</v>
      </c>
      <c r="P753">
        <v>775.43379339591331</v>
      </c>
      <c r="Q753" s="5">
        <v>782.97578586431962</v>
      </c>
      <c r="R753" s="5">
        <v>762.4827880859375</v>
      </c>
      <c r="S753" s="5">
        <v>747.6746826171875</v>
      </c>
      <c r="T753" s="5">
        <v>881.35877242234869</v>
      </c>
      <c r="U753" s="5">
        <v>774.26803469653078</v>
      </c>
      <c r="V753" s="5">
        <v>674.21263470232986</v>
      </c>
      <c r="W753" s="5">
        <v>753.02178107444774</v>
      </c>
      <c r="X753" s="5">
        <v>722.31052085579768</v>
      </c>
      <c r="Y753" s="5">
        <v>581.8404887493233</v>
      </c>
    </row>
    <row r="754" spans="1:25">
      <c r="A754">
        <v>320</v>
      </c>
      <c r="B754">
        <v>7</v>
      </c>
      <c r="C754">
        <v>249.9</v>
      </c>
      <c r="D754">
        <v>30.652345458641939</v>
      </c>
      <c r="E754">
        <v>0.8125</v>
      </c>
      <c r="F754">
        <v>7914</v>
      </c>
      <c r="G754" s="35">
        <v>6671.8336232035599</v>
      </c>
      <c r="H754" s="5">
        <v>7554.7721602156589</v>
      </c>
      <c r="I754" s="5">
        <v>7554.7718568849359</v>
      </c>
      <c r="J754" s="5">
        <v>7554.8378247021374</v>
      </c>
      <c r="K754" s="5">
        <v>5999.0670352489578</v>
      </c>
      <c r="L754" s="5">
        <v>6783.6284620443603</v>
      </c>
      <c r="M754" s="5">
        <v>7344.4854368932038</v>
      </c>
      <c r="N754" s="5">
        <v>6045.1680028133596</v>
      </c>
      <c r="O754" s="5">
        <v>7795.1982722485991</v>
      </c>
      <c r="P754">
        <v>7459.7468777894528</v>
      </c>
      <c r="Q754" s="5">
        <v>6383.9999999999982</v>
      </c>
      <c r="R754" s="5">
        <v>7788.3720703125</v>
      </c>
      <c r="S754" s="5">
        <v>7217.81787109375</v>
      </c>
      <c r="T754" s="5">
        <v>6766.8876804526835</v>
      </c>
      <c r="U754" s="5">
        <v>5040.8136300073775</v>
      </c>
      <c r="V754" s="5">
        <v>4375.5799815541623</v>
      </c>
      <c r="W754" s="5">
        <v>4538.0143910314182</v>
      </c>
      <c r="X754" s="5">
        <v>5301.813844176063</v>
      </c>
      <c r="Y754" s="5">
        <v>3859.904130478099</v>
      </c>
    </row>
    <row r="755" spans="1:25">
      <c r="A755">
        <v>131</v>
      </c>
      <c r="B755">
        <v>4</v>
      </c>
      <c r="C755">
        <v>306</v>
      </c>
      <c r="D755">
        <v>48.72</v>
      </c>
      <c r="E755">
        <v>3</v>
      </c>
      <c r="F755">
        <v>1320</v>
      </c>
      <c r="G755" s="35">
        <v>1402.4831460674161</v>
      </c>
      <c r="H755" s="5">
        <v>1348.799562283373</v>
      </c>
      <c r="I755" s="5">
        <v>1348.7998061576079</v>
      </c>
      <c r="J755" s="5">
        <v>1348.82850590819</v>
      </c>
      <c r="K755" s="5">
        <v>1450.875</v>
      </c>
      <c r="L755" s="5">
        <v>1403.2657676120041</v>
      </c>
      <c r="M755" s="5">
        <v>1393.742348589921</v>
      </c>
      <c r="N755" s="5">
        <v>1429.0742708329251</v>
      </c>
      <c r="O755" s="5">
        <v>1412.646601106605</v>
      </c>
      <c r="P755">
        <v>1345.693032693403</v>
      </c>
      <c r="Q755" s="5">
        <v>1442.7121866682869</v>
      </c>
      <c r="R755" s="5">
        <v>1364.873779296875</v>
      </c>
      <c r="S755" s="5">
        <v>1365.2906494140625</v>
      </c>
      <c r="T755" s="5">
        <v>1438.1783106829664</v>
      </c>
      <c r="U755" s="5">
        <v>1370.0390686206949</v>
      </c>
      <c r="V755" s="5">
        <v>1192.4194138245537</v>
      </c>
      <c r="W755" s="5">
        <v>1314.229186319634</v>
      </c>
      <c r="X755" s="5">
        <v>1276.6384569907441</v>
      </c>
      <c r="Y755" s="5">
        <v>1030.8366909553531</v>
      </c>
    </row>
    <row r="756" spans="1:25">
      <c r="A756">
        <v>127.3</v>
      </c>
      <c r="B756">
        <v>1.63</v>
      </c>
      <c r="C756">
        <v>334</v>
      </c>
      <c r="D756">
        <v>67.2</v>
      </c>
      <c r="E756">
        <v>5.5852317360565591</v>
      </c>
      <c r="F756">
        <v>1285</v>
      </c>
      <c r="G756" s="35">
        <v>1296.629996973026</v>
      </c>
      <c r="H756" s="5">
        <v>1226.39928598295</v>
      </c>
      <c r="I756" s="5">
        <v>1226.3990235797851</v>
      </c>
      <c r="J756" s="5">
        <v>1226.3588058711241</v>
      </c>
      <c r="K756" s="5">
        <v>1274.714285714286</v>
      </c>
      <c r="L756" s="5">
        <v>1317.0882451240279</v>
      </c>
      <c r="M756" s="5">
        <v>1291.0129449838189</v>
      </c>
      <c r="N756" s="5">
        <v>1084.3315292517091</v>
      </c>
      <c r="O756" s="5">
        <v>1146.1989775784939</v>
      </c>
      <c r="P756">
        <v>1181.695473781399</v>
      </c>
      <c r="Q756" s="5">
        <v>1299.7062006553861</v>
      </c>
      <c r="R756" s="5">
        <v>1275.248168945312</v>
      </c>
      <c r="S756" s="5">
        <v>1379.49658203125</v>
      </c>
      <c r="T756" s="5">
        <v>1158.8610482546005</v>
      </c>
      <c r="U756" s="5">
        <v>1160.251259474727</v>
      </c>
      <c r="V756" s="5">
        <v>971.4793060511771</v>
      </c>
      <c r="Y756" s="5">
        <v>947.33676968620296</v>
      </c>
    </row>
    <row r="757" spans="1:25">
      <c r="A757">
        <v>122</v>
      </c>
      <c r="B757">
        <v>4.54</v>
      </c>
      <c r="C757">
        <v>576</v>
      </c>
      <c r="D757">
        <v>25.4</v>
      </c>
      <c r="E757">
        <v>3</v>
      </c>
      <c r="F757">
        <v>1509</v>
      </c>
      <c r="G757" s="35">
        <v>1676.431236716641</v>
      </c>
      <c r="H757" s="5">
        <v>1821.0663439360719</v>
      </c>
      <c r="I757" s="5">
        <v>1821.0665391415539</v>
      </c>
      <c r="J757" s="5">
        <v>1821.0530853999669</v>
      </c>
      <c r="K757" s="5">
        <v>1038.5999999999999</v>
      </c>
      <c r="L757" s="5">
        <v>1443.5038531027089</v>
      </c>
      <c r="M757" s="5">
        <v>1442.955468643999</v>
      </c>
      <c r="N757" s="5">
        <v>1715.6030755738161</v>
      </c>
      <c r="O757" s="5">
        <v>1587.908738659138</v>
      </c>
      <c r="P757">
        <v>1521.0541437168149</v>
      </c>
      <c r="Q757" s="5">
        <v>1419.201494082783</v>
      </c>
      <c r="R757" s="5">
        <v>1336.33642578125</v>
      </c>
      <c r="S757" s="5">
        <v>1492.225341796875</v>
      </c>
      <c r="T757" s="5">
        <v>1701.350591155242</v>
      </c>
      <c r="U757" s="5">
        <v>1721.1389152131787</v>
      </c>
      <c r="V757" s="5">
        <v>1643.0267248370426</v>
      </c>
      <c r="W757" s="5">
        <v>1446.4374358007587</v>
      </c>
    </row>
    <row r="758" spans="1:25">
      <c r="A758">
        <v>204</v>
      </c>
      <c r="B758">
        <v>2</v>
      </c>
      <c r="C758">
        <v>235.2</v>
      </c>
      <c r="D758">
        <v>28.45</v>
      </c>
      <c r="E758">
        <v>4.117647058823529</v>
      </c>
      <c r="F758">
        <v>1294</v>
      </c>
      <c r="G758" s="35">
        <v>1664.1224992951679</v>
      </c>
      <c r="H758" s="5">
        <v>2670.7663909628982</v>
      </c>
      <c r="I758" s="5">
        <v>2670.766095289373</v>
      </c>
      <c r="J758" s="5">
        <v>2670.797140402588</v>
      </c>
      <c r="K758" s="5">
        <v>1458.7777777777781</v>
      </c>
      <c r="L758" s="5">
        <v>1635.7071410223509</v>
      </c>
      <c r="M758" s="5">
        <v>1672.257881941762</v>
      </c>
      <c r="N758" s="5">
        <v>1638.2511438241779</v>
      </c>
      <c r="O758" s="5">
        <v>1517.525727841313</v>
      </c>
      <c r="P758">
        <v>1558.5537265613279</v>
      </c>
      <c r="Q758" s="5">
        <v>1637</v>
      </c>
      <c r="R758" s="5">
        <v>1625.766845703125</v>
      </c>
      <c r="S758" s="5">
        <v>1428.5855712890625</v>
      </c>
      <c r="T758" s="5">
        <v>1375.8906457356104</v>
      </c>
      <c r="U758" s="5">
        <v>1377.3800784398206</v>
      </c>
      <c r="V758" s="5">
        <v>1162.2008814892661</v>
      </c>
      <c r="W758" s="5">
        <v>1161.4856564948307</v>
      </c>
      <c r="Y758" s="5">
        <v>1131.3757604521061</v>
      </c>
    </row>
    <row r="759" spans="1:25">
      <c r="A759">
        <v>300</v>
      </c>
      <c r="B759">
        <v>3.2</v>
      </c>
      <c r="C759">
        <v>265</v>
      </c>
      <c r="D759">
        <v>24.638000000000002</v>
      </c>
      <c r="E759">
        <v>4.166666666666667</v>
      </c>
      <c r="F759">
        <v>2012</v>
      </c>
      <c r="G759" s="35">
        <v>2741.5088325785068</v>
      </c>
      <c r="H759" s="5">
        <v>6055.3350436708188</v>
      </c>
      <c r="I759" s="5">
        <v>6055.3342307727708</v>
      </c>
      <c r="J759" s="5">
        <v>6055.3408465797238</v>
      </c>
      <c r="K759" s="5">
        <v>3160.3701908190728</v>
      </c>
      <c r="L759" s="5">
        <v>2692.4647313965629</v>
      </c>
      <c r="M759" s="5">
        <v>2652.0562783224459</v>
      </c>
      <c r="N759" s="5">
        <v>2457.1280015391271</v>
      </c>
      <c r="O759" s="5">
        <v>2518.7203024240239</v>
      </c>
      <c r="P759">
        <v>2193.2653968335521</v>
      </c>
      <c r="Q759" s="5">
        <v>2568.6668617973842</v>
      </c>
      <c r="R759" s="5">
        <v>2406.373779296875</v>
      </c>
      <c r="S759" s="5">
        <v>2662.97900390625</v>
      </c>
      <c r="T759" s="5">
        <v>2591.8549510605617</v>
      </c>
      <c r="U759" s="5">
        <v>2948.9714955884406</v>
      </c>
      <c r="V759" s="5">
        <v>2518.7444813491102</v>
      </c>
      <c r="W759" s="5">
        <v>2377.9397699675706</v>
      </c>
      <c r="Y759" s="5">
        <v>2342.9888970161951</v>
      </c>
    </row>
    <row r="760" spans="1:25">
      <c r="A760">
        <v>477</v>
      </c>
      <c r="B760">
        <v>11.36</v>
      </c>
      <c r="C760">
        <v>310</v>
      </c>
      <c r="D760">
        <v>73.2</v>
      </c>
      <c r="E760">
        <v>2</v>
      </c>
      <c r="F760">
        <v>20237</v>
      </c>
      <c r="G760" s="35">
        <v>15472.322230654339</v>
      </c>
      <c r="H760" s="5">
        <v>14734.893273049869</v>
      </c>
      <c r="I760" s="5">
        <v>14734.89183303782</v>
      </c>
      <c r="J760" s="5">
        <v>14734.799927464581</v>
      </c>
      <c r="K760" s="5">
        <v>22819.166666666672</v>
      </c>
      <c r="L760" s="5">
        <v>24260.59138736262</v>
      </c>
      <c r="M760" s="5">
        <v>19617.165048543691</v>
      </c>
      <c r="N760" s="5">
        <v>20573.100481187219</v>
      </c>
      <c r="O760" s="5">
        <v>23087.50104597149</v>
      </c>
      <c r="P760">
        <v>21910.94534227069</v>
      </c>
      <c r="Q760" s="5">
        <v>17884.999999999989</v>
      </c>
      <c r="R760" s="5">
        <v>22566.578125</v>
      </c>
      <c r="S760" s="5">
        <v>19923.767578125</v>
      </c>
      <c r="T760" s="5">
        <v>19758.603044460349</v>
      </c>
      <c r="U760" s="5">
        <v>20210.020426087514</v>
      </c>
      <c r="V760" s="5">
        <v>17192.797049446348</v>
      </c>
    </row>
    <row r="761" spans="1:25">
      <c r="A761">
        <v>165.2</v>
      </c>
      <c r="B761">
        <v>4.0999999999999996</v>
      </c>
      <c r="C761">
        <v>353</v>
      </c>
      <c r="D761">
        <v>34.016228372082253</v>
      </c>
      <c r="E761">
        <v>4.0012106537530272</v>
      </c>
      <c r="F761">
        <v>1562</v>
      </c>
      <c r="G761" s="35">
        <v>1821.267560684099</v>
      </c>
      <c r="H761" s="5">
        <v>2455.835676829402</v>
      </c>
      <c r="I761" s="5">
        <v>2455.8356186896531</v>
      </c>
      <c r="J761" s="5">
        <v>2455.8373643015989</v>
      </c>
      <c r="K761" s="5">
        <v>1437.82</v>
      </c>
      <c r="L761" s="5">
        <v>1678.6146783933909</v>
      </c>
      <c r="M761" s="5">
        <v>1638.113917350124</v>
      </c>
      <c r="N761" s="5">
        <v>1685.0561413121241</v>
      </c>
      <c r="O761" s="5">
        <v>1770.9136629517141</v>
      </c>
      <c r="P761">
        <v>1623.665191887218</v>
      </c>
      <c r="Q761" s="5">
        <v>1541.6805615362721</v>
      </c>
      <c r="R761" s="5">
        <v>1669.43408203125</v>
      </c>
      <c r="S761" s="5">
        <v>1958.1396484375</v>
      </c>
      <c r="T761" s="5">
        <v>1859.5224316243741</v>
      </c>
      <c r="U761" s="5">
        <v>1845.1696833152662</v>
      </c>
      <c r="V761" s="5">
        <v>1621.680448669066</v>
      </c>
      <c r="W761" s="5">
        <v>1674.5878586496872</v>
      </c>
      <c r="X761" s="5">
        <v>1632.7686132497761</v>
      </c>
      <c r="Y761" s="5">
        <v>1340.706507542729</v>
      </c>
    </row>
    <row r="762" spans="1:25">
      <c r="A762">
        <v>112.56</v>
      </c>
      <c r="B762">
        <v>2.89</v>
      </c>
      <c r="C762">
        <v>360</v>
      </c>
      <c r="D762">
        <v>23.338477713828741</v>
      </c>
      <c r="E762">
        <v>3.020611229566454</v>
      </c>
      <c r="F762">
        <v>716</v>
      </c>
      <c r="G762" s="35">
        <v>745</v>
      </c>
      <c r="H762" s="5">
        <v>264.78072539181272</v>
      </c>
      <c r="I762" s="5">
        <v>264.78105618524978</v>
      </c>
      <c r="J762" s="5">
        <v>264.81294333827918</v>
      </c>
      <c r="K762" s="5">
        <v>727.57142857142856</v>
      </c>
      <c r="L762" s="5">
        <v>728.44587105901269</v>
      </c>
      <c r="M762" s="5">
        <v>741.58230081676675</v>
      </c>
      <c r="N762" s="5">
        <v>715.40944741389535</v>
      </c>
      <c r="O762" s="5">
        <v>701.29099770427729</v>
      </c>
      <c r="P762">
        <v>707.48875607136517</v>
      </c>
      <c r="Q762" s="5">
        <v>770.19544669519723</v>
      </c>
      <c r="R762" s="5">
        <v>736.58807373046875</v>
      </c>
      <c r="S762" s="5">
        <v>755.7454833984375</v>
      </c>
      <c r="T762" s="5">
        <v>855.22063118372864</v>
      </c>
      <c r="U762" s="5">
        <v>789.69972162333499</v>
      </c>
      <c r="V762" s="5">
        <v>702.91424067355308</v>
      </c>
      <c r="W762" s="5">
        <v>686.17105070671323</v>
      </c>
      <c r="Y762" s="5">
        <v>553.29331202874084</v>
      </c>
    </row>
    <row r="763" spans="1:25">
      <c r="A763">
        <v>152</v>
      </c>
      <c r="B763">
        <v>1.7</v>
      </c>
      <c r="C763">
        <v>328</v>
      </c>
      <c r="D763">
        <v>85</v>
      </c>
      <c r="E763">
        <v>4.3421052631578947</v>
      </c>
      <c r="F763">
        <v>1895</v>
      </c>
      <c r="G763" s="35">
        <v>1834.795155552915</v>
      </c>
      <c r="H763" s="5">
        <v>2119.3297117444858</v>
      </c>
      <c r="I763" s="5">
        <v>2119.3294550746982</v>
      </c>
      <c r="J763" s="5">
        <v>2119.31908059441</v>
      </c>
      <c r="K763" s="5">
        <v>1460.181818181818</v>
      </c>
      <c r="L763" s="5">
        <v>1734.1019416379561</v>
      </c>
      <c r="M763" s="5">
        <v>1765.4281472491909</v>
      </c>
      <c r="N763" s="5">
        <v>1723.471875094745</v>
      </c>
      <c r="O763" s="5">
        <v>1630.063064881833</v>
      </c>
      <c r="P763">
        <v>1708.274604117217</v>
      </c>
      <c r="Q763" s="5">
        <v>1722.679759015607</v>
      </c>
      <c r="R763" s="5">
        <v>1722.482543945312</v>
      </c>
      <c r="S763" s="5">
        <v>1825.9974365234375</v>
      </c>
      <c r="T763" s="5">
        <v>1864.6456629257325</v>
      </c>
      <c r="U763" s="5">
        <v>1900.6932233662087</v>
      </c>
      <c r="V763" s="5">
        <v>1573.6589051504232</v>
      </c>
    </row>
    <row r="764" spans="1:25">
      <c r="A764">
        <v>107</v>
      </c>
      <c r="B764">
        <v>4</v>
      </c>
      <c r="C764">
        <v>379.8</v>
      </c>
      <c r="D764">
        <v>31.87</v>
      </c>
      <c r="E764">
        <v>5.0654205607476639</v>
      </c>
      <c r="F764">
        <v>889</v>
      </c>
      <c r="G764" s="35">
        <v>899.51270515614658</v>
      </c>
      <c r="H764" s="5">
        <v>696.51272040974595</v>
      </c>
      <c r="I764" s="5">
        <v>696.51287595144754</v>
      </c>
      <c r="J764" s="5">
        <v>696.49548853400529</v>
      </c>
      <c r="K764" s="5">
        <v>876.26080817667525</v>
      </c>
      <c r="L764" s="5">
        <v>898.68541562869405</v>
      </c>
      <c r="M764" s="5">
        <v>898.08604396882356</v>
      </c>
      <c r="N764" s="5">
        <v>932.15792643007865</v>
      </c>
      <c r="O764" s="5">
        <v>830.60905826824614</v>
      </c>
      <c r="P764">
        <v>918.73027783707596</v>
      </c>
      <c r="Q764" s="5">
        <v>927.82711088649933</v>
      </c>
      <c r="R764" s="5">
        <v>899.7169189453125</v>
      </c>
      <c r="S764" s="5">
        <v>969.479736328125</v>
      </c>
      <c r="T764" s="5">
        <v>1015.7802555589448</v>
      </c>
      <c r="U764" s="5">
        <v>1041.6992807711458</v>
      </c>
      <c r="V764" s="5">
        <v>929.57896258489791</v>
      </c>
      <c r="W764" s="5">
        <v>917.14274135873586</v>
      </c>
      <c r="X764" s="5">
        <v>837.53351819844681</v>
      </c>
      <c r="Y764" s="5">
        <v>710.38508009653822</v>
      </c>
    </row>
    <row r="765" spans="1:25">
      <c r="A765">
        <v>219.1</v>
      </c>
      <c r="B765">
        <v>6.3</v>
      </c>
      <c r="C765">
        <v>300</v>
      </c>
      <c r="D765">
        <v>144.33600000000001</v>
      </c>
      <c r="E765">
        <v>2.7384755819260609</v>
      </c>
      <c r="F765">
        <v>6838</v>
      </c>
      <c r="G765" s="35">
        <v>7432.1901969864139</v>
      </c>
      <c r="H765" s="5">
        <v>6339.0291866012667</v>
      </c>
      <c r="I765" s="5">
        <v>6339.0287146821329</v>
      </c>
      <c r="J765" s="5">
        <v>6338.9560760520326</v>
      </c>
      <c r="K765" s="5">
        <v>7403.375</v>
      </c>
      <c r="L765" s="5">
        <v>7390.9938640142846</v>
      </c>
      <c r="M765" s="5">
        <v>7569</v>
      </c>
      <c r="N765" s="5">
        <v>7354.9416879238734</v>
      </c>
      <c r="O765" s="5">
        <v>7228.2615514851932</v>
      </c>
      <c r="P765">
        <v>7194.8525663803612</v>
      </c>
      <c r="Q765" s="5">
        <v>7291.9767986672368</v>
      </c>
      <c r="R765" s="5">
        <v>7547.51123046875</v>
      </c>
      <c r="S765" s="5">
        <v>7349.19287109375</v>
      </c>
      <c r="T765" s="5">
        <v>6879.6021233743113</v>
      </c>
      <c r="U765" s="5">
        <v>6653.4516234822731</v>
      </c>
      <c r="V765" s="5">
        <v>5754.6212807017855</v>
      </c>
    </row>
    <row r="766" spans="1:25">
      <c r="A766">
        <v>114.8</v>
      </c>
      <c r="B766">
        <v>3.9</v>
      </c>
      <c r="C766">
        <v>357.7</v>
      </c>
      <c r="D766">
        <v>60.75</v>
      </c>
      <c r="E766">
        <v>2.9442508710801389</v>
      </c>
      <c r="F766">
        <v>1116</v>
      </c>
      <c r="G766" s="35">
        <v>1035.9181961917091</v>
      </c>
      <c r="H766" s="5">
        <v>1211.6734204680811</v>
      </c>
      <c r="I766" s="5">
        <v>1211.6736797354031</v>
      </c>
      <c r="J766" s="5">
        <v>1211.6749320438651</v>
      </c>
      <c r="K766" s="5">
        <v>1249.01</v>
      </c>
      <c r="L766" s="5">
        <v>1281.2595016587361</v>
      </c>
      <c r="M766" s="5">
        <v>1192.039412852519</v>
      </c>
      <c r="N766" s="5">
        <v>1130.127437257762</v>
      </c>
      <c r="O766" s="5">
        <v>1183.144118378345</v>
      </c>
      <c r="P766">
        <v>1187.3625490967911</v>
      </c>
      <c r="Q766" s="5">
        <v>1295.851462643343</v>
      </c>
      <c r="R766" s="5">
        <v>1192.126220703125</v>
      </c>
      <c r="S766" s="5">
        <v>1323.68115234375</v>
      </c>
      <c r="T766" s="5">
        <v>1404.1418616486965</v>
      </c>
      <c r="U766" s="5">
        <v>1333.6374572886807</v>
      </c>
      <c r="V766" s="5">
        <v>1162.4430042097608</v>
      </c>
      <c r="W766" s="5">
        <v>1282.4854885979178</v>
      </c>
      <c r="Y766" s="5">
        <v>997.08718841731979</v>
      </c>
    </row>
    <row r="767" spans="1:25">
      <c r="A767">
        <v>200</v>
      </c>
      <c r="B767">
        <v>2</v>
      </c>
      <c r="C767">
        <v>237.2</v>
      </c>
      <c r="D767">
        <v>24.24</v>
      </c>
      <c r="E767">
        <v>4.6500000000000004</v>
      </c>
      <c r="F767">
        <v>1411</v>
      </c>
      <c r="G767" s="35">
        <v>1517.742382060439</v>
      </c>
      <c r="H767" s="5">
        <v>2385.2540293910988</v>
      </c>
      <c r="I767" s="5">
        <v>2385.2537653539298</v>
      </c>
      <c r="J767" s="5">
        <v>2385.272647111397</v>
      </c>
      <c r="K767" s="5">
        <v>1509.3215457818419</v>
      </c>
      <c r="L767" s="5">
        <v>1532.4118993213269</v>
      </c>
      <c r="M767" s="5">
        <v>1491.421860089024</v>
      </c>
      <c r="N767" s="5">
        <v>1275.9027113708009</v>
      </c>
      <c r="O767" s="5">
        <v>1289.4577114325491</v>
      </c>
      <c r="P767">
        <v>1239.8753620917189</v>
      </c>
      <c r="Q767" s="5">
        <v>1503.4221477599281</v>
      </c>
      <c r="R767" s="5">
        <v>1213.3876953125</v>
      </c>
      <c r="S767" s="5">
        <v>1320.5970458984375</v>
      </c>
      <c r="T767" s="5">
        <v>1156.6538914055741</v>
      </c>
      <c r="U767" s="5">
        <v>1209.4173656225064</v>
      </c>
      <c r="V767" s="5">
        <v>1027.1271015577927</v>
      </c>
      <c r="W767" s="5">
        <v>1013.3581891248502</v>
      </c>
      <c r="Y767" s="5">
        <v>973.48821762089278</v>
      </c>
    </row>
    <row r="768" spans="1:25">
      <c r="A768">
        <v>166</v>
      </c>
      <c r="B768">
        <v>5</v>
      </c>
      <c r="C768">
        <v>288.10000000000002</v>
      </c>
      <c r="D768">
        <v>44.11</v>
      </c>
      <c r="E768">
        <v>6.2650602409638552</v>
      </c>
      <c r="F768">
        <v>1695</v>
      </c>
      <c r="G768" s="35">
        <v>1761.5103107501</v>
      </c>
      <c r="H768" s="5">
        <v>2803.2533314980578</v>
      </c>
      <c r="I768" s="5">
        <v>2803.2530554478849</v>
      </c>
      <c r="J768" s="5">
        <v>2803.1904611519212</v>
      </c>
      <c r="K768" s="5">
        <v>1735.2308288499221</v>
      </c>
      <c r="L768" s="5">
        <v>1808.570581988412</v>
      </c>
      <c r="M768" s="5">
        <v>1765.5820157189089</v>
      </c>
      <c r="N768" s="5">
        <v>1819.3686527970531</v>
      </c>
      <c r="O768" s="5">
        <v>1758.2328886489011</v>
      </c>
      <c r="P768">
        <v>1815.398896265018</v>
      </c>
      <c r="Q768" s="5">
        <v>1837.636410731855</v>
      </c>
      <c r="R768" s="5">
        <v>1775.918090820312</v>
      </c>
      <c r="S768" s="5">
        <v>1962.7015380859375</v>
      </c>
      <c r="T768" s="5">
        <v>1802.278194587693</v>
      </c>
      <c r="U768" s="5">
        <v>2023.4258436701939</v>
      </c>
      <c r="V768" s="5">
        <v>1762.6177600368362</v>
      </c>
      <c r="W768" s="5">
        <v>1911.8286904807737</v>
      </c>
      <c r="X768" s="5">
        <v>1640.8454139984051</v>
      </c>
      <c r="Y768" s="5">
        <v>1484.8675031046951</v>
      </c>
    </row>
    <row r="769" spans="1:25">
      <c r="A769">
        <v>63.5</v>
      </c>
      <c r="B769">
        <v>1.25</v>
      </c>
      <c r="C769">
        <v>250</v>
      </c>
      <c r="D769">
        <v>41.360000000000007</v>
      </c>
      <c r="E769">
        <v>5.5118110236220472</v>
      </c>
      <c r="F769">
        <v>174.69</v>
      </c>
      <c r="G769" s="35">
        <v>204.14585932662871</v>
      </c>
      <c r="H769" s="5">
        <v>-1800.008538056006</v>
      </c>
      <c r="I769" s="5">
        <v>-1800.0082229875841</v>
      </c>
      <c r="J769" s="5">
        <v>-1799.9905907690011</v>
      </c>
      <c r="K769" s="5">
        <v>169.12285714285721</v>
      </c>
      <c r="L769" s="5">
        <v>182.74934615384711</v>
      </c>
      <c r="M769" s="5">
        <v>192.39461165048519</v>
      </c>
      <c r="N769" s="5">
        <v>169.9554237572971</v>
      </c>
      <c r="O769" s="5">
        <v>186.58390128778581</v>
      </c>
      <c r="P769">
        <v>185.19743340710801</v>
      </c>
      <c r="Q769" s="5">
        <v>189.3232415267376</v>
      </c>
      <c r="R769" s="5">
        <v>182.67510986328119</v>
      </c>
      <c r="S769" s="5">
        <v>147.9263916015625</v>
      </c>
      <c r="T769" s="5">
        <v>214.876150955132</v>
      </c>
      <c r="U769" s="5">
        <v>219.87756440460839</v>
      </c>
      <c r="V769" s="5">
        <v>188.11578701024987</v>
      </c>
      <c r="W769" s="5">
        <v>194.29609541947895</v>
      </c>
      <c r="X769" s="5">
        <v>192.08896995267409</v>
      </c>
      <c r="Y769" s="5">
        <v>171.72824203281621</v>
      </c>
    </row>
    <row r="770" spans="1:25">
      <c r="A770">
        <v>114.3</v>
      </c>
      <c r="B770">
        <v>3.35</v>
      </c>
      <c r="C770">
        <v>287.33</v>
      </c>
      <c r="D770">
        <v>81.558969977179785</v>
      </c>
      <c r="E770">
        <v>3</v>
      </c>
      <c r="F770">
        <v>1136.2</v>
      </c>
      <c r="G770" s="35">
        <v>1252.106144520561</v>
      </c>
      <c r="H770" s="5">
        <v>1167.814885035735</v>
      </c>
      <c r="I770" s="5">
        <v>1167.815114995049</v>
      </c>
      <c r="J770" s="5">
        <v>1167.8271614365451</v>
      </c>
      <c r="K770" s="5">
        <v>1272.8399999999999</v>
      </c>
      <c r="L770" s="5">
        <v>1300.125027767366</v>
      </c>
      <c r="M770" s="5">
        <v>1242.8573462783211</v>
      </c>
      <c r="N770" s="5">
        <v>1301.0833825421901</v>
      </c>
      <c r="O770" s="5">
        <v>1282.9096977579791</v>
      </c>
      <c r="P770">
        <v>1302.0673892066261</v>
      </c>
      <c r="Q770" s="5">
        <v>1283.3890003687841</v>
      </c>
      <c r="R770" s="5">
        <v>1239.528198242188</v>
      </c>
      <c r="S770" s="5">
        <v>1156.7017822265625</v>
      </c>
      <c r="T770" s="5">
        <v>1347.3956595675604</v>
      </c>
      <c r="U770" s="5">
        <v>1285.1511242068352</v>
      </c>
      <c r="V770" s="5">
        <v>1094.4376826512573</v>
      </c>
    </row>
    <row r="771" spans="1:25">
      <c r="A771">
        <v>133</v>
      </c>
      <c r="B771">
        <v>5</v>
      </c>
      <c r="C771">
        <v>306</v>
      </c>
      <c r="D771">
        <v>48.72</v>
      </c>
      <c r="E771">
        <v>3</v>
      </c>
      <c r="F771">
        <v>1548</v>
      </c>
      <c r="G771" s="35">
        <v>1595.3154167423279</v>
      </c>
      <c r="H771" s="5">
        <v>1619.125642980011</v>
      </c>
      <c r="I771" s="5">
        <v>1619.1259438646259</v>
      </c>
      <c r="J771" s="5">
        <v>1619.1560492313331</v>
      </c>
      <c r="K771" s="5">
        <v>1467</v>
      </c>
      <c r="L771" s="5">
        <v>1579.015984129252</v>
      </c>
      <c r="M771" s="5">
        <v>1561.968608414239</v>
      </c>
      <c r="N771" s="5">
        <v>1540.7608398642949</v>
      </c>
      <c r="O771" s="5">
        <v>1552.186613446672</v>
      </c>
      <c r="P771">
        <v>1611.0871024932021</v>
      </c>
      <c r="Q771" s="5">
        <v>1572.3278089535361</v>
      </c>
      <c r="R771" s="5">
        <v>1504.730346679688</v>
      </c>
      <c r="S771" s="5">
        <v>1533.42529296875</v>
      </c>
      <c r="T771" s="5">
        <v>1612.123795246998</v>
      </c>
      <c r="U771" s="5">
        <v>1575.6093095720494</v>
      </c>
      <c r="V771" s="5">
        <v>1380.8795988193369</v>
      </c>
      <c r="W771" s="5">
        <v>1482.5924026176356</v>
      </c>
      <c r="X771" s="5">
        <v>1453.960595274451</v>
      </c>
      <c r="Y771" s="5">
        <v>1157.2705458711971</v>
      </c>
    </row>
    <row r="772" spans="1:25">
      <c r="A772">
        <v>165</v>
      </c>
      <c r="B772">
        <v>1</v>
      </c>
      <c r="C772">
        <v>338</v>
      </c>
      <c r="D772">
        <v>49.777395755965507</v>
      </c>
      <c r="E772">
        <v>3.0303030303030298</v>
      </c>
      <c r="F772">
        <v>1773.8</v>
      </c>
      <c r="G772" s="35">
        <v>1705.2</v>
      </c>
      <c r="H772" s="5">
        <v>1624.5513610990929</v>
      </c>
      <c r="I772" s="5">
        <v>1624.5512766343061</v>
      </c>
      <c r="J772" s="5">
        <v>1624.585095469758</v>
      </c>
      <c r="K772" s="5">
        <v>2067.7909090909088</v>
      </c>
      <c r="L772" s="5">
        <v>1753.239241959418</v>
      </c>
      <c r="M772" s="5">
        <v>1705.2000000000071</v>
      </c>
      <c r="N772" s="5">
        <v>1788.460452046714</v>
      </c>
      <c r="O772" s="5">
        <v>1675.3295276301301</v>
      </c>
      <c r="P772">
        <v>1695.5608164252631</v>
      </c>
      <c r="Q772" s="5">
        <v>1709.307989150014</v>
      </c>
      <c r="R772" s="5">
        <v>1670.322509765625</v>
      </c>
      <c r="S772" s="5">
        <v>1816.5577392578125</v>
      </c>
      <c r="T772" s="5">
        <v>1592.2376685186712</v>
      </c>
      <c r="U772" s="5">
        <v>1320.8315707709603</v>
      </c>
      <c r="V772" s="5">
        <v>1091.9763325244624</v>
      </c>
      <c r="Y772" s="5">
        <v>880.16539611456244</v>
      </c>
    </row>
    <row r="773" spans="1:25">
      <c r="A773">
        <v>114.3</v>
      </c>
      <c r="B773">
        <v>5.9</v>
      </c>
      <c r="C773">
        <v>355</v>
      </c>
      <c r="D773">
        <v>56.2</v>
      </c>
      <c r="E773">
        <v>2.6246719160104992</v>
      </c>
      <c r="F773">
        <v>1735.77</v>
      </c>
      <c r="G773" s="35">
        <v>1583.0802758790139</v>
      </c>
      <c r="H773" s="5">
        <v>1642.1413075484841</v>
      </c>
      <c r="I773" s="5">
        <v>1642.1417217571779</v>
      </c>
      <c r="J773" s="5">
        <v>1642.1533204799259</v>
      </c>
      <c r="K773" s="5">
        <v>1724.0619999999999</v>
      </c>
      <c r="L773" s="5">
        <v>1499.2554152447019</v>
      </c>
      <c r="M773" s="5">
        <v>1631.427524271842</v>
      </c>
      <c r="N773" s="5">
        <v>1471.0448816324081</v>
      </c>
      <c r="O773" s="5">
        <v>1482.466049302109</v>
      </c>
      <c r="P773">
        <v>1501.956525727433</v>
      </c>
      <c r="Q773" s="5">
        <v>1540.5669315453649</v>
      </c>
      <c r="R773" s="5">
        <v>1435.747802734375</v>
      </c>
      <c r="S773" s="5">
        <v>1649.2314453125</v>
      </c>
      <c r="T773" s="5">
        <v>1671.1602177904751</v>
      </c>
      <c r="U773" s="5">
        <v>1619.2515246051662</v>
      </c>
      <c r="V773" s="5">
        <v>1432.4325256861332</v>
      </c>
      <c r="W773" s="5">
        <v>1476.6557479012627</v>
      </c>
      <c r="X773" s="5">
        <v>1479.794622312246</v>
      </c>
      <c r="Y773" s="5">
        <v>1147.198060358573</v>
      </c>
    </row>
    <row r="774" spans="1:25">
      <c r="A774">
        <v>152.4</v>
      </c>
      <c r="B774">
        <v>3</v>
      </c>
      <c r="C774">
        <v>488.2</v>
      </c>
      <c r="D774">
        <v>22.9183601613287</v>
      </c>
      <c r="E774">
        <v>6.5616797900262469</v>
      </c>
      <c r="F774">
        <v>1463.3</v>
      </c>
      <c r="G774" s="35">
        <v>780.03096929585627</v>
      </c>
      <c r="H774" s="5">
        <v>2096.9779577086142</v>
      </c>
      <c r="I774" s="5">
        <v>2096.9775945300021</v>
      </c>
      <c r="J774" s="5">
        <v>2096.9149016351871</v>
      </c>
      <c r="K774" s="5">
        <v>925.36666666666656</v>
      </c>
      <c r="L774" s="5">
        <v>1281.423723238101</v>
      </c>
      <c r="M774" s="5">
        <v>1345.8917153786399</v>
      </c>
      <c r="N774" s="5">
        <v>1402.5488965042689</v>
      </c>
      <c r="O774" s="5">
        <v>1443.600724622896</v>
      </c>
      <c r="P774">
        <v>1472.1060890501369</v>
      </c>
      <c r="Q774" s="5">
        <v>1172.9249542600089</v>
      </c>
      <c r="R774" s="5">
        <v>1222.148315429688</v>
      </c>
      <c r="S774" s="5">
        <v>1775.322998046875</v>
      </c>
      <c r="T774" s="5">
        <v>1275.3286903406206</v>
      </c>
      <c r="U774" s="5">
        <v>1499.4076642509956</v>
      </c>
      <c r="V774" s="5">
        <v>1336.9077915118016</v>
      </c>
      <c r="W774" s="5">
        <v>1189.9352081537727</v>
      </c>
      <c r="Y774" s="5">
        <v>1013.113292676964</v>
      </c>
    </row>
    <row r="775" spans="1:25">
      <c r="A775">
        <v>108</v>
      </c>
      <c r="B775">
        <v>4</v>
      </c>
      <c r="C775">
        <v>339.11395700000003</v>
      </c>
      <c r="D775">
        <v>28.244132664999999</v>
      </c>
      <c r="E775">
        <v>3</v>
      </c>
      <c r="F775">
        <v>1059.1182030930011</v>
      </c>
      <c r="G775" s="35">
        <v>1117.958103264835</v>
      </c>
      <c r="H775" s="5">
        <v>345.01770209558572</v>
      </c>
      <c r="I775" s="5">
        <v>345.01816601684601</v>
      </c>
      <c r="J775" s="5">
        <v>345.07107639104743</v>
      </c>
      <c r="K775" s="5">
        <v>876.26080817667525</v>
      </c>
      <c r="L775" s="5">
        <v>1051.0642093265581</v>
      </c>
      <c r="M775" s="5">
        <v>1118.043305106235</v>
      </c>
      <c r="N775" s="5">
        <v>1005.365574011799</v>
      </c>
      <c r="O775" s="5">
        <v>1051.243965535489</v>
      </c>
      <c r="P775">
        <v>990.29926928622388</v>
      </c>
      <c r="Q775" s="5">
        <v>989.12152608161398</v>
      </c>
      <c r="R775" s="5">
        <v>1115.798828125</v>
      </c>
      <c r="S775" s="5">
        <v>903.871337890625</v>
      </c>
      <c r="T775" s="5">
        <v>1012.2862717068223</v>
      </c>
      <c r="U775" s="5">
        <v>939.79490599677615</v>
      </c>
      <c r="V775" s="5">
        <v>838.61948031894553</v>
      </c>
      <c r="W775" s="5">
        <v>826.94894198056795</v>
      </c>
      <c r="X775" s="5">
        <v>860.48618065423329</v>
      </c>
      <c r="Y775" s="5">
        <v>649.81486552355921</v>
      </c>
    </row>
    <row r="776" spans="1:25">
      <c r="A776">
        <v>108</v>
      </c>
      <c r="B776">
        <v>4</v>
      </c>
      <c r="C776">
        <v>324</v>
      </c>
      <c r="D776">
        <v>28.99</v>
      </c>
      <c r="E776">
        <v>3.137777777777778</v>
      </c>
      <c r="F776">
        <v>1058.4000000000001</v>
      </c>
      <c r="G776" s="35">
        <v>1045.843586449859</v>
      </c>
      <c r="H776" s="5">
        <v>310.00499873791568</v>
      </c>
      <c r="I776" s="5">
        <v>310.00545493587742</v>
      </c>
      <c r="J776" s="5">
        <v>310.0572540885023</v>
      </c>
      <c r="K776" s="5">
        <v>876.26080817667525</v>
      </c>
      <c r="L776" s="5">
        <v>1020.672860564679</v>
      </c>
      <c r="M776" s="5">
        <v>1047.939836297531</v>
      </c>
      <c r="N776" s="5">
        <v>1046.610718269153</v>
      </c>
      <c r="O776" s="5">
        <v>1013.289591263138</v>
      </c>
      <c r="P776">
        <v>950.69105198191369</v>
      </c>
      <c r="Q776" s="5">
        <v>975.87022392734286</v>
      </c>
      <c r="R776" s="5">
        <v>994.94561767578125</v>
      </c>
      <c r="S776" s="5">
        <v>1098.559326171875</v>
      </c>
      <c r="T776" s="5">
        <v>997.73656830612958</v>
      </c>
      <c r="U776" s="5">
        <v>913.65393480766397</v>
      </c>
      <c r="V776" s="5">
        <v>813.83885039556628</v>
      </c>
      <c r="W776" s="5">
        <v>812.72268445864995</v>
      </c>
      <c r="X776" s="5">
        <v>833.08834960300851</v>
      </c>
      <c r="Y776" s="5">
        <v>635.448288115266</v>
      </c>
    </row>
    <row r="777" spans="1:25">
      <c r="A777">
        <v>358</v>
      </c>
      <c r="B777">
        <v>5.66</v>
      </c>
      <c r="C777">
        <v>290</v>
      </c>
      <c r="D777">
        <v>73.2</v>
      </c>
      <c r="E777">
        <v>2</v>
      </c>
      <c r="F777">
        <v>9947</v>
      </c>
      <c r="G777" s="35">
        <v>10045</v>
      </c>
      <c r="H777" s="5">
        <v>9216.0749442935994</v>
      </c>
      <c r="I777" s="5">
        <v>9216.0739901972629</v>
      </c>
      <c r="J777" s="5">
        <v>9216.0495075973049</v>
      </c>
      <c r="K777" s="5">
        <v>7873.8515052331086</v>
      </c>
      <c r="L777" s="5">
        <v>9495.0798140821025</v>
      </c>
      <c r="M777" s="5">
        <v>10045</v>
      </c>
      <c r="N777" s="5">
        <v>9371.5672624444251</v>
      </c>
      <c r="O777" s="5">
        <v>9936.5303908727583</v>
      </c>
      <c r="P777">
        <v>10334.35399048517</v>
      </c>
      <c r="Q777" s="5">
        <v>9601.6647083262578</v>
      </c>
      <c r="R777" s="5">
        <v>9992.8984375</v>
      </c>
      <c r="S777" s="5">
        <v>9841.7431640625</v>
      </c>
      <c r="T777" s="5">
        <v>10138.524022933014</v>
      </c>
      <c r="U777" s="5">
        <v>9853.0352501496091</v>
      </c>
      <c r="V777" s="5">
        <v>8247.0820398524102</v>
      </c>
    </row>
    <row r="778" spans="1:25">
      <c r="A778">
        <v>133</v>
      </c>
      <c r="B778">
        <v>5.8</v>
      </c>
      <c r="C778">
        <v>427</v>
      </c>
      <c r="D778">
        <v>84.2</v>
      </c>
      <c r="E778">
        <v>3.6090225563909768</v>
      </c>
      <c r="F778">
        <v>3187</v>
      </c>
      <c r="G778" s="35">
        <v>3152.5</v>
      </c>
      <c r="H778" s="5">
        <v>2941.9941617038739</v>
      </c>
      <c r="I778" s="5">
        <v>2941.9942108924211</v>
      </c>
      <c r="J778" s="5">
        <v>2941.9370890312648</v>
      </c>
      <c r="K778" s="5">
        <v>3425.875</v>
      </c>
      <c r="L778" s="5">
        <v>3065.014221644959</v>
      </c>
      <c r="M778" s="5">
        <v>3152.5</v>
      </c>
      <c r="N778" s="5">
        <v>3182.8939601747579</v>
      </c>
      <c r="O778" s="5">
        <v>3164.3066614896338</v>
      </c>
      <c r="P778">
        <v>3135.3880553801728</v>
      </c>
      <c r="Q778" s="5">
        <v>2883.3529293154429</v>
      </c>
      <c r="R778" s="5">
        <v>3152.86083984375</v>
      </c>
      <c r="S778" s="5">
        <v>3124.46728515625</v>
      </c>
      <c r="T778" s="5">
        <v>2626.0948131302926</v>
      </c>
      <c r="U778" s="5">
        <v>2577.9034708529448</v>
      </c>
      <c r="V778" s="5">
        <v>2254.5027653766551</v>
      </c>
      <c r="W778" s="5">
        <v>2398.354208439634</v>
      </c>
    </row>
    <row r="779" spans="1:25">
      <c r="A779">
        <v>180</v>
      </c>
      <c r="B779">
        <v>1.49</v>
      </c>
      <c r="C779">
        <v>222.7</v>
      </c>
      <c r="D779">
        <v>14.624000000000001</v>
      </c>
      <c r="E779">
        <v>3.083333333333333</v>
      </c>
      <c r="F779">
        <v>1040</v>
      </c>
      <c r="G779" s="35">
        <v>775.05144367953596</v>
      </c>
      <c r="H779" s="5">
        <v>1427.068789353161</v>
      </c>
      <c r="I779" s="5">
        <v>1427.06877405041</v>
      </c>
      <c r="J779" s="5">
        <v>1427.155196044735</v>
      </c>
      <c r="K779" s="5">
        <v>1226.359976</v>
      </c>
      <c r="L779" s="5">
        <v>1314.401858661085</v>
      </c>
      <c r="M779" s="5">
        <v>1306.03109133662</v>
      </c>
      <c r="N779" s="5">
        <v>1176.24991037978</v>
      </c>
      <c r="O779" s="5">
        <v>1213.9466544416421</v>
      </c>
      <c r="P779">
        <v>1107.774709397009</v>
      </c>
      <c r="Q779" s="5">
        <v>1294</v>
      </c>
      <c r="R779" s="5">
        <v>1315.632202148438</v>
      </c>
      <c r="S779" s="5">
        <v>1147.3729248046875</v>
      </c>
      <c r="T779" s="5">
        <v>893.45072896409897</v>
      </c>
      <c r="U779" s="5">
        <v>661.378585845884</v>
      </c>
      <c r="V779" s="5">
        <v>566.75003429468234</v>
      </c>
      <c r="W779" s="5">
        <v>542.36208379286109</v>
      </c>
    </row>
    <row r="780" spans="1:25">
      <c r="A780">
        <v>129</v>
      </c>
      <c r="B780">
        <v>3</v>
      </c>
      <c r="C780">
        <v>306</v>
      </c>
      <c r="D780">
        <v>51.2</v>
      </c>
      <c r="E780">
        <v>3</v>
      </c>
      <c r="F780">
        <v>1147</v>
      </c>
      <c r="G780" s="35">
        <v>1124.3972789115651</v>
      </c>
      <c r="H780" s="5">
        <v>1092.791499595281</v>
      </c>
      <c r="I780" s="5">
        <v>1092.7916924105359</v>
      </c>
      <c r="J780" s="5">
        <v>1092.8188578835691</v>
      </c>
      <c r="K780" s="5">
        <v>1193.8571428571429</v>
      </c>
      <c r="L780" s="5">
        <v>1133.081160916598</v>
      </c>
      <c r="M780" s="5">
        <v>1150.4256703652341</v>
      </c>
      <c r="N780" s="5">
        <v>1230.914733897861</v>
      </c>
      <c r="O780" s="5">
        <v>1237.61741157919</v>
      </c>
      <c r="P780">
        <v>1168.0721389271971</v>
      </c>
      <c r="Q780" s="5">
        <v>1247.487492650969</v>
      </c>
      <c r="R780" s="5">
        <v>1262.34765625</v>
      </c>
      <c r="S780" s="5">
        <v>1295.4114990234375</v>
      </c>
      <c r="T780" s="5">
        <v>1285.6587877385821</v>
      </c>
      <c r="U780" s="5">
        <v>1197.0516045486349</v>
      </c>
      <c r="V780" s="5">
        <v>1029.9732984650757</v>
      </c>
      <c r="W780" s="5">
        <v>1167.0363563404026</v>
      </c>
      <c r="X780" s="5">
        <v>1127.1147335361641</v>
      </c>
      <c r="Y780" s="5">
        <v>933.80825710426245</v>
      </c>
    </row>
    <row r="781" spans="1:25">
      <c r="A781">
        <v>108</v>
      </c>
      <c r="B781">
        <v>4</v>
      </c>
      <c r="C781">
        <v>338.9</v>
      </c>
      <c r="D781">
        <v>18.24227097707757</v>
      </c>
      <c r="E781">
        <v>6</v>
      </c>
      <c r="F781">
        <v>828</v>
      </c>
      <c r="G781" s="35">
        <v>807.78613779029706</v>
      </c>
      <c r="H781" s="5">
        <v>439.78565186307219</v>
      </c>
      <c r="I781" s="5">
        <v>439.78577378095042</v>
      </c>
      <c r="J781" s="5">
        <v>439.76317758865298</v>
      </c>
      <c r="K781" s="5">
        <v>876.26080817667525</v>
      </c>
      <c r="L781" s="5">
        <v>810.88567651560061</v>
      </c>
      <c r="M781" s="5">
        <v>807.22936341198408</v>
      </c>
      <c r="N781" s="5">
        <v>751.57112635617068</v>
      </c>
      <c r="O781" s="5">
        <v>771.03647662272385</v>
      </c>
      <c r="P781">
        <v>757.79592241186549</v>
      </c>
      <c r="Q781" s="5">
        <v>886.91236395667295</v>
      </c>
      <c r="R781" s="5">
        <v>747.66656494140625</v>
      </c>
      <c r="S781" s="5">
        <v>727.0318603515625</v>
      </c>
      <c r="T781" s="5">
        <v>819.51760966014774</v>
      </c>
      <c r="U781" s="5">
        <v>860.78748205919442</v>
      </c>
      <c r="V781" s="5">
        <v>775.35878686341596</v>
      </c>
      <c r="W781" s="5">
        <v>707.83683080308924</v>
      </c>
    </row>
    <row r="782" spans="1:25">
      <c r="A782">
        <v>114</v>
      </c>
      <c r="B782">
        <v>5.6</v>
      </c>
      <c r="C782">
        <v>300</v>
      </c>
      <c r="D782">
        <v>46.763208585700767</v>
      </c>
      <c r="E782">
        <v>2.192982456140351</v>
      </c>
      <c r="F782">
        <v>1873</v>
      </c>
      <c r="G782" s="35">
        <v>1542.5739988821549</v>
      </c>
      <c r="H782" s="5">
        <v>1118.0605857504661</v>
      </c>
      <c r="I782" s="5">
        <v>1118.0611520324171</v>
      </c>
      <c r="J782" s="5">
        <v>1118.10136553595</v>
      </c>
      <c r="K782" s="5">
        <v>1199</v>
      </c>
      <c r="L782" s="5">
        <v>1454.83467214846</v>
      </c>
      <c r="M782" s="5">
        <v>1563.967717290705</v>
      </c>
      <c r="N782" s="5">
        <v>1516.219805335897</v>
      </c>
      <c r="O782" s="5">
        <v>1670.1907187461679</v>
      </c>
      <c r="P782">
        <v>1516.947154617493</v>
      </c>
      <c r="Q782" s="5">
        <v>1382.8977353563309</v>
      </c>
      <c r="R782" s="5">
        <v>1755.716796875</v>
      </c>
      <c r="S782" s="5">
        <v>1522.75732421875</v>
      </c>
      <c r="T782" s="5">
        <v>1538.7982103414802</v>
      </c>
      <c r="U782" s="5">
        <v>1314.9700487574514</v>
      </c>
      <c r="V782" s="5">
        <v>1162.2637139093995</v>
      </c>
      <c r="W782" s="5">
        <v>1206.0215083167441</v>
      </c>
      <c r="X782" s="5">
        <v>1248.1221649652121</v>
      </c>
      <c r="Y782" s="5">
        <v>937.59630022406463</v>
      </c>
    </row>
    <row r="783" spans="1:25">
      <c r="A783">
        <v>140.4</v>
      </c>
      <c r="B783">
        <v>4.93</v>
      </c>
      <c r="C783">
        <v>293</v>
      </c>
      <c r="D783">
        <v>33.200000000000003</v>
      </c>
      <c r="E783">
        <v>2.891737891737892</v>
      </c>
      <c r="F783">
        <v>1824</v>
      </c>
      <c r="G783" s="35">
        <v>1832.957717117876</v>
      </c>
      <c r="H783" s="5">
        <v>1537.39550363941</v>
      </c>
      <c r="I783" s="5">
        <v>1537.395847739135</v>
      </c>
      <c r="J783" s="5">
        <v>1537.444080547725</v>
      </c>
      <c r="K783" s="5">
        <v>664.47142857142865</v>
      </c>
      <c r="L783" s="5">
        <v>1228.8041187151409</v>
      </c>
      <c r="M783" s="5">
        <v>1373.3596663098331</v>
      </c>
      <c r="N783" s="5">
        <v>1586.647844137746</v>
      </c>
      <c r="O783" s="5">
        <v>1618.0289379329131</v>
      </c>
      <c r="P783">
        <v>1442.2646065625729</v>
      </c>
      <c r="Q783" s="5">
        <v>1523.3689683973801</v>
      </c>
      <c r="R783" s="5">
        <v>1479.154418945312</v>
      </c>
      <c r="S783" s="5">
        <v>1444.728515625</v>
      </c>
      <c r="T783" s="5">
        <v>1508.693362438054</v>
      </c>
      <c r="U783" s="5">
        <v>1440.2554173303115</v>
      </c>
      <c r="V783" s="5">
        <v>1272.8714966390335</v>
      </c>
      <c r="W783" s="5">
        <v>1316.2504233682453</v>
      </c>
      <c r="X783" s="5">
        <v>1344.418476929877</v>
      </c>
      <c r="Y783" s="5">
        <v>1031.0963158161051</v>
      </c>
    </row>
    <row r="784" spans="1:25">
      <c r="A784">
        <v>210</v>
      </c>
      <c r="B784">
        <v>2.5</v>
      </c>
      <c r="C784">
        <v>237.2</v>
      </c>
      <c r="D784">
        <v>27.07</v>
      </c>
      <c r="E784">
        <v>4.9523809523809534</v>
      </c>
      <c r="F784">
        <v>1607</v>
      </c>
      <c r="G784" s="35">
        <v>1459.504393737632</v>
      </c>
      <c r="H784" s="5">
        <v>2985.2144388128572</v>
      </c>
      <c r="I784" s="5">
        <v>2985.214039815251</v>
      </c>
      <c r="J784" s="5">
        <v>2985.245592829981</v>
      </c>
      <c r="K784" s="5">
        <v>1370.658317013515</v>
      </c>
      <c r="L784" s="5">
        <v>1585.2316871715941</v>
      </c>
      <c r="M784" s="5">
        <v>1572.1457900282519</v>
      </c>
      <c r="N784" s="5">
        <v>1630.8781273562411</v>
      </c>
      <c r="O784" s="5">
        <v>1646.517036415067</v>
      </c>
      <c r="P784">
        <v>1635.980763403126</v>
      </c>
      <c r="Q784" s="5">
        <v>1545.125237642568</v>
      </c>
      <c r="R784" s="5">
        <v>1471.603393554688</v>
      </c>
      <c r="S784" s="5">
        <v>1644.7001953125</v>
      </c>
      <c r="T784" s="5">
        <v>1380.6726142412972</v>
      </c>
      <c r="U784" s="5">
        <v>1519.71760380917</v>
      </c>
      <c r="V784" s="5">
        <v>1293.683717049289</v>
      </c>
      <c r="W784" s="5">
        <v>1271.6374996993864</v>
      </c>
      <c r="Y784" s="5">
        <v>1212.3167232211331</v>
      </c>
    </row>
    <row r="785" spans="1:25">
      <c r="A785">
        <v>318.3</v>
      </c>
      <c r="B785">
        <v>10.37</v>
      </c>
      <c r="C785">
        <v>335</v>
      </c>
      <c r="D785">
        <v>39.200000000000003</v>
      </c>
      <c r="E785">
        <v>3.0003141690229338</v>
      </c>
      <c r="F785">
        <v>7933</v>
      </c>
      <c r="G785" s="35">
        <v>7745.3542110472554</v>
      </c>
      <c r="H785" s="5">
        <v>9145.7725835670499</v>
      </c>
      <c r="I785" s="5">
        <v>9145.7720421060549</v>
      </c>
      <c r="J785" s="5">
        <v>9145.7319630298789</v>
      </c>
      <c r="K785" s="5">
        <v>8511.6</v>
      </c>
      <c r="L785" s="5">
        <v>8056.2485098098477</v>
      </c>
      <c r="M785" s="5">
        <v>8574.5461165048546</v>
      </c>
      <c r="N785" s="5">
        <v>9146.4066201303813</v>
      </c>
      <c r="O785" s="5">
        <v>8089.7420495538117</v>
      </c>
      <c r="P785">
        <v>8147.0144664297804</v>
      </c>
      <c r="Q785" s="5">
        <v>8159.5827235739052</v>
      </c>
      <c r="R785" s="5">
        <v>8158.09033203125</v>
      </c>
      <c r="S785" s="5">
        <v>7551.39013671875</v>
      </c>
      <c r="T785" s="5">
        <v>7801.6716173386285</v>
      </c>
      <c r="U785" s="5">
        <v>8170.2749560482725</v>
      </c>
      <c r="V785" s="5">
        <v>7197.9004281599109</v>
      </c>
      <c r="W785" s="5">
        <v>7270.6563787564355</v>
      </c>
      <c r="X785" s="5">
        <v>7541.2305222419109</v>
      </c>
      <c r="Y785" s="5">
        <v>5909.2398945352397</v>
      </c>
    </row>
    <row r="786" spans="1:25">
      <c r="A786">
        <v>200</v>
      </c>
      <c r="B786">
        <v>3</v>
      </c>
      <c r="C786">
        <v>303.5</v>
      </c>
      <c r="D786">
        <v>32.457457285750117</v>
      </c>
      <c r="E786">
        <v>3</v>
      </c>
      <c r="F786">
        <v>2160</v>
      </c>
      <c r="G786" s="35">
        <v>2356.5</v>
      </c>
      <c r="H786" s="5">
        <v>3004.0263162946171</v>
      </c>
      <c r="I786" s="5">
        <v>3004.0261629248289</v>
      </c>
      <c r="J786" s="5">
        <v>3004.0649364696651</v>
      </c>
      <c r="K786" s="5">
        <v>1798.246414071154</v>
      </c>
      <c r="L786" s="5">
        <v>2255.1256956232601</v>
      </c>
      <c r="M786" s="5">
        <v>2356.180151024811</v>
      </c>
      <c r="N786" s="5">
        <v>2094.6649091729701</v>
      </c>
      <c r="O786" s="5">
        <v>2163.5817448511661</v>
      </c>
      <c r="P786">
        <v>2157.246099814176</v>
      </c>
      <c r="Q786" s="5">
        <v>2079.7780078739452</v>
      </c>
      <c r="R786" s="5">
        <v>2350.8251953125</v>
      </c>
      <c r="S786" s="5">
        <v>2125.997314453125</v>
      </c>
      <c r="T786" s="5">
        <v>1875.8897190306823</v>
      </c>
      <c r="U786" s="5">
        <v>1872.2924152519502</v>
      </c>
      <c r="V786" s="5">
        <v>1611.0297999413374</v>
      </c>
      <c r="W786" s="5">
        <v>1553.4708277038726</v>
      </c>
      <c r="X786" s="5">
        <v>1784.835372819605</v>
      </c>
      <c r="Y786" s="5">
        <v>1463.8083000570621</v>
      </c>
    </row>
    <row r="787" spans="1:25">
      <c r="A787">
        <v>89.32</v>
      </c>
      <c r="B787">
        <v>2.74</v>
      </c>
      <c r="C787">
        <v>360</v>
      </c>
      <c r="D787">
        <v>20.404079254954059</v>
      </c>
      <c r="E787">
        <v>3.8065382892969102</v>
      </c>
      <c r="F787">
        <v>610</v>
      </c>
      <c r="G787" s="35">
        <v>580.68500002149619</v>
      </c>
      <c r="H787" s="5">
        <v>-574.73211589357516</v>
      </c>
      <c r="I787" s="5">
        <v>-574.73172183915494</v>
      </c>
      <c r="J787" s="5">
        <v>-574.69743528459003</v>
      </c>
      <c r="K787" s="5">
        <v>575.92307692307691</v>
      </c>
      <c r="L787" s="5">
        <v>570.76179050116548</v>
      </c>
      <c r="M787" s="5">
        <v>581.18284789644019</v>
      </c>
      <c r="N787" s="5">
        <v>590.50910596443828</v>
      </c>
      <c r="O787" s="5">
        <v>591.40248885623225</v>
      </c>
      <c r="P787">
        <v>583.13774622827407</v>
      </c>
      <c r="Q787" s="5">
        <v>602.36237750764951</v>
      </c>
      <c r="R787" s="5">
        <v>613.8304443359375</v>
      </c>
      <c r="S787" s="5">
        <v>552.98779296875</v>
      </c>
      <c r="T787" s="5">
        <v>596.59670526295633</v>
      </c>
      <c r="U787" s="5">
        <v>547.2901973225745</v>
      </c>
      <c r="V787" s="5">
        <v>490.77847032279891</v>
      </c>
      <c r="W787" s="5">
        <v>461.63735376218892</v>
      </c>
    </row>
    <row r="788" spans="1:25">
      <c r="A788">
        <v>133</v>
      </c>
      <c r="B788">
        <v>3.5</v>
      </c>
      <c r="C788">
        <v>352</v>
      </c>
      <c r="D788">
        <v>67.760000000000005</v>
      </c>
      <c r="E788">
        <v>3.496240601503759</v>
      </c>
      <c r="F788">
        <v>1995</v>
      </c>
      <c r="G788" s="35">
        <v>1991</v>
      </c>
      <c r="H788" s="5">
        <v>1790.4341553686941</v>
      </c>
      <c r="I788" s="5">
        <v>1790.4342143205829</v>
      </c>
      <c r="J788" s="5">
        <v>1790.427171418138</v>
      </c>
      <c r="K788" s="5">
        <v>2156.3000000000002</v>
      </c>
      <c r="L788" s="5">
        <v>1943.2601535274371</v>
      </c>
      <c r="M788" s="5">
        <v>1991</v>
      </c>
      <c r="N788" s="5">
        <v>2029.7904785520141</v>
      </c>
      <c r="O788" s="5">
        <v>1981.146360716609</v>
      </c>
      <c r="P788">
        <v>1902.8219118667139</v>
      </c>
      <c r="Q788" s="5">
        <v>1898.106653744901</v>
      </c>
      <c r="R788" s="5">
        <v>1993.1806640625</v>
      </c>
      <c r="S788" s="5">
        <v>1789.5782470703125</v>
      </c>
      <c r="T788" s="5">
        <v>1723.7312177618255</v>
      </c>
      <c r="U788" s="5">
        <v>1656.8782274499674</v>
      </c>
      <c r="V788" s="5">
        <v>1424.9223188195651</v>
      </c>
      <c r="W788" s="5">
        <v>1614.8113194501209</v>
      </c>
      <c r="Y788" s="5">
        <v>1287.7375404375209</v>
      </c>
    </row>
    <row r="789" spans="1:25">
      <c r="A789">
        <v>140</v>
      </c>
      <c r="B789">
        <v>3</v>
      </c>
      <c r="C789">
        <v>426.3</v>
      </c>
      <c r="D789">
        <v>33.06</v>
      </c>
      <c r="E789">
        <v>6</v>
      </c>
      <c r="F789">
        <v>1208</v>
      </c>
      <c r="G789" s="35">
        <v>1010.7752483994331</v>
      </c>
      <c r="H789" s="5">
        <v>1654.0334306266459</v>
      </c>
      <c r="I789" s="5">
        <v>1654.033208381687</v>
      </c>
      <c r="J789" s="5">
        <v>1653.9868478208659</v>
      </c>
      <c r="K789" s="5">
        <v>1395.666666666667</v>
      </c>
      <c r="L789" s="5">
        <v>1185.8097532909869</v>
      </c>
      <c r="M789" s="5">
        <v>1127.1241366860829</v>
      </c>
      <c r="N789" s="5">
        <v>1150.1253293475349</v>
      </c>
      <c r="O789" s="5">
        <v>1127.706851896261</v>
      </c>
      <c r="P789">
        <v>1266.629444231851</v>
      </c>
      <c r="Q789" s="5">
        <v>1194.7319284695679</v>
      </c>
      <c r="R789" s="5">
        <v>1056.068115234375</v>
      </c>
      <c r="S789" s="5">
        <v>1106.0631103515625</v>
      </c>
      <c r="T789" s="5">
        <v>1194.8196717298786</v>
      </c>
      <c r="U789" s="5">
        <v>1357.9389920375377</v>
      </c>
      <c r="V789" s="5">
        <v>1196.1432315672826</v>
      </c>
      <c r="W789" s="5">
        <v>1208.6192541472474</v>
      </c>
      <c r="X789" s="5">
        <v>1066.012242783085</v>
      </c>
      <c r="Y789" s="5">
        <v>961.3036929220068</v>
      </c>
    </row>
    <row r="790" spans="1:25">
      <c r="A790">
        <v>166</v>
      </c>
      <c r="B790">
        <v>5</v>
      </c>
      <c r="C790">
        <v>288.10000000000002</v>
      </c>
      <c r="D790">
        <v>23</v>
      </c>
      <c r="E790">
        <v>6.2650602409638552</v>
      </c>
      <c r="F790">
        <v>1392</v>
      </c>
      <c r="G790" s="35">
        <v>1445.429982517044</v>
      </c>
      <c r="H790" s="5">
        <v>2424.5225393039868</v>
      </c>
      <c r="I790" s="5">
        <v>2424.5223515401249</v>
      </c>
      <c r="J790" s="5">
        <v>2424.4796007034852</v>
      </c>
      <c r="K790" s="5">
        <v>1704.25</v>
      </c>
      <c r="L790" s="5">
        <v>1506.1899763562619</v>
      </c>
      <c r="M790" s="5">
        <v>1403.67071197411</v>
      </c>
      <c r="N790" s="5">
        <v>1416.604987797617</v>
      </c>
      <c r="O790" s="5">
        <v>1441.4905623098689</v>
      </c>
      <c r="P790">
        <v>1388.5915316499099</v>
      </c>
      <c r="Q790" s="5">
        <v>1702.99395588477</v>
      </c>
      <c r="R790" s="5">
        <v>1513.736938476562</v>
      </c>
      <c r="S790" s="5">
        <v>1514.5487060546875</v>
      </c>
      <c r="T790" s="5">
        <v>1485.6233570815027</v>
      </c>
      <c r="U790" s="5">
        <v>1619.9409204094591</v>
      </c>
      <c r="V790" s="5">
        <v>1439.8298214282486</v>
      </c>
      <c r="W790" s="5">
        <v>1417.5266089122872</v>
      </c>
      <c r="Y790" s="5">
        <v>1118.7285963973291</v>
      </c>
    </row>
    <row r="791" spans="1:25">
      <c r="A791">
        <v>129</v>
      </c>
      <c r="B791">
        <v>3</v>
      </c>
      <c r="C791">
        <v>306</v>
      </c>
      <c r="D791">
        <v>48.72</v>
      </c>
      <c r="E791">
        <v>3</v>
      </c>
      <c r="F791">
        <v>1095</v>
      </c>
      <c r="G791" s="35">
        <v>1143.230607966457</v>
      </c>
      <c r="H791" s="5">
        <v>913.4124805182355</v>
      </c>
      <c r="I791" s="5">
        <v>913.41272410081638</v>
      </c>
      <c r="J791" s="5">
        <v>913.45464184763659</v>
      </c>
      <c r="K791" s="5">
        <v>1246.384615384615</v>
      </c>
      <c r="L791" s="5">
        <v>1142.435997435723</v>
      </c>
      <c r="M791" s="5">
        <v>1144.050323624595</v>
      </c>
      <c r="N791" s="5">
        <v>1224.246324393511</v>
      </c>
      <c r="O791" s="5">
        <v>1184.0545542383491</v>
      </c>
      <c r="P791">
        <v>1241.1292259241941</v>
      </c>
      <c r="Q791" s="5">
        <v>1265.7891682454631</v>
      </c>
      <c r="R791" s="5">
        <v>1109.216552734375</v>
      </c>
      <c r="S791" s="5">
        <v>1268.538330078125</v>
      </c>
      <c r="T791" s="5">
        <v>1254.8335759256152</v>
      </c>
      <c r="U791" s="5">
        <v>1167.5835282898158</v>
      </c>
      <c r="V791" s="5">
        <v>1006.3988374580202</v>
      </c>
      <c r="W791" s="5">
        <v>1134.8858848148795</v>
      </c>
      <c r="X791" s="5">
        <v>1099.1845106949711</v>
      </c>
      <c r="Y791" s="5">
        <v>906.18978922411304</v>
      </c>
    </row>
    <row r="792" spans="1:25">
      <c r="A792">
        <v>168.8</v>
      </c>
      <c r="B792">
        <v>5</v>
      </c>
      <c r="C792">
        <v>200.2</v>
      </c>
      <c r="D792">
        <v>27.9</v>
      </c>
      <c r="E792">
        <v>1.8068720379146921</v>
      </c>
      <c r="F792">
        <v>1984</v>
      </c>
      <c r="G792" s="35">
        <v>1542.7456143361071</v>
      </c>
      <c r="H792" s="5">
        <v>2028.3215057287809</v>
      </c>
      <c r="I792" s="5">
        <v>2028.3219293778129</v>
      </c>
      <c r="J792" s="5">
        <v>2028.408150441117</v>
      </c>
      <c r="K792" s="5">
        <v>1562.1327126069129</v>
      </c>
      <c r="L792" s="5">
        <v>1743.1201130055099</v>
      </c>
      <c r="M792" s="5">
        <v>1824.1000033967589</v>
      </c>
      <c r="N792" s="5">
        <v>1789.7816672738691</v>
      </c>
      <c r="O792" s="5">
        <v>1559.7064126724899</v>
      </c>
      <c r="P792">
        <v>1438.0422379825029</v>
      </c>
      <c r="Q792" s="5">
        <v>1647</v>
      </c>
      <c r="R792" s="5">
        <v>1645.21728515625</v>
      </c>
      <c r="S792" s="5">
        <v>1442.5328369140625</v>
      </c>
      <c r="T792" s="5">
        <v>1803.5880732164921</v>
      </c>
      <c r="U792" s="5">
        <v>1387.0539972643903</v>
      </c>
      <c r="V792" s="5">
        <v>1211.4221475746299</v>
      </c>
      <c r="W792" s="5">
        <v>1301.0169751802334</v>
      </c>
      <c r="Y792" s="5">
        <v>1038.23899398751</v>
      </c>
    </row>
    <row r="793" spans="1:25">
      <c r="A793">
        <v>469</v>
      </c>
      <c r="B793">
        <v>4.66</v>
      </c>
      <c r="C793">
        <v>291</v>
      </c>
      <c r="D793">
        <v>73.2</v>
      </c>
      <c r="E793">
        <v>2</v>
      </c>
      <c r="F793">
        <v>15239</v>
      </c>
      <c r="G793" s="35">
        <v>15827</v>
      </c>
      <c r="H793" s="5">
        <v>12537.355533921091</v>
      </c>
      <c r="I793" s="5">
        <v>12537.353833390031</v>
      </c>
      <c r="J793" s="5">
        <v>12537.31942428756</v>
      </c>
      <c r="K793" s="5">
        <v>24981</v>
      </c>
      <c r="L793" s="5">
        <v>16531.956765109891</v>
      </c>
      <c r="M793" s="5">
        <v>15827</v>
      </c>
      <c r="N793" s="5">
        <v>11898.136869432001</v>
      </c>
      <c r="O793" s="5">
        <v>16044.456602339889</v>
      </c>
      <c r="P793">
        <v>15116.08078344766</v>
      </c>
      <c r="Q793" s="5">
        <v>15826.999999999991</v>
      </c>
      <c r="R793" s="5">
        <v>15831.544921875</v>
      </c>
      <c r="S793" s="5">
        <v>16179.4208984375</v>
      </c>
      <c r="T793" s="5">
        <v>14995.994891686987</v>
      </c>
      <c r="U793" s="5">
        <v>15352.851622542092</v>
      </c>
      <c r="V793" s="5">
        <v>12681.79427487762</v>
      </c>
    </row>
    <row r="794" spans="1:25">
      <c r="A794">
        <v>166</v>
      </c>
      <c r="B794">
        <v>5</v>
      </c>
      <c r="C794">
        <v>274.39999999999998</v>
      </c>
      <c r="D794">
        <v>29.62</v>
      </c>
      <c r="E794">
        <v>2.1084337349397591</v>
      </c>
      <c r="F794">
        <v>1784</v>
      </c>
      <c r="G794" s="35">
        <v>2038</v>
      </c>
      <c r="H794" s="5">
        <v>2336.8546729011468</v>
      </c>
      <c r="I794" s="5">
        <v>2336.854918337609</v>
      </c>
      <c r="J794" s="5">
        <v>2336.9057840789051</v>
      </c>
      <c r="K794" s="5">
        <v>1971.53597405193</v>
      </c>
      <c r="L794" s="5">
        <v>2001.7762536475591</v>
      </c>
      <c r="M794" s="5">
        <v>2034.1357029314281</v>
      </c>
      <c r="N794" s="5">
        <v>1973.2406526214811</v>
      </c>
      <c r="O794" s="5">
        <v>2000.2860438324881</v>
      </c>
      <c r="P794">
        <v>2003.006372851632</v>
      </c>
      <c r="Q794" s="5">
        <v>1806.494797950108</v>
      </c>
      <c r="R794" s="5">
        <v>2023.07958984375</v>
      </c>
      <c r="S794" s="5">
        <v>1834.864013671875</v>
      </c>
      <c r="T794" s="5">
        <v>1896.3018964585106</v>
      </c>
      <c r="U794" s="5">
        <v>1690.3437290330673</v>
      </c>
      <c r="V794" s="5">
        <v>1489.3102909377585</v>
      </c>
      <c r="W794" s="5">
        <v>1541.9718731273672</v>
      </c>
      <c r="X794" s="5">
        <v>1659.9298143281101</v>
      </c>
      <c r="Y794" s="5">
        <v>1228.2654939166639</v>
      </c>
    </row>
    <row r="795" spans="1:25">
      <c r="A795">
        <v>140</v>
      </c>
      <c r="B795">
        <v>4.5</v>
      </c>
      <c r="C795">
        <v>374.2</v>
      </c>
      <c r="D795">
        <v>27.16</v>
      </c>
      <c r="E795">
        <v>3</v>
      </c>
      <c r="F795">
        <v>1275.3</v>
      </c>
      <c r="G795" s="35">
        <v>1368.7325003508099</v>
      </c>
      <c r="H795" s="5">
        <v>1627.7133963697181</v>
      </c>
      <c r="I795" s="5">
        <v>1627.713666854921</v>
      </c>
      <c r="J795" s="5">
        <v>1627.7482095321941</v>
      </c>
      <c r="K795" s="5">
        <v>1374.065439272727</v>
      </c>
      <c r="L795" s="5">
        <v>1428.79222162679</v>
      </c>
      <c r="M795" s="5">
        <v>1429.140969242718</v>
      </c>
      <c r="N795" s="5">
        <v>1382.9681673048749</v>
      </c>
      <c r="O795" s="5">
        <v>1426.129818746545</v>
      </c>
      <c r="P795">
        <v>1455.7503406047169</v>
      </c>
      <c r="Q795" s="5">
        <v>1407.3979480361629</v>
      </c>
      <c r="R795" s="5">
        <v>1369.150634765625</v>
      </c>
      <c r="S795" s="5">
        <v>1489.9298095703125</v>
      </c>
      <c r="T795" s="5">
        <v>1531.3081973196181</v>
      </c>
      <c r="U795" s="5">
        <v>1527.3043662844193</v>
      </c>
      <c r="V795" s="5">
        <v>1363.050756260699</v>
      </c>
      <c r="W795" s="5">
        <v>1319.8165352636522</v>
      </c>
      <c r="Y795" s="5">
        <v>1057.3664812861839</v>
      </c>
    </row>
    <row r="796" spans="1:25">
      <c r="A796">
        <v>133</v>
      </c>
      <c r="B796">
        <v>3.5</v>
      </c>
      <c r="C796">
        <v>352</v>
      </c>
      <c r="D796">
        <v>106.02</v>
      </c>
      <c r="E796">
        <v>3.496240601503759</v>
      </c>
      <c r="F796">
        <v>1991</v>
      </c>
      <c r="G796" s="35">
        <v>1995</v>
      </c>
      <c r="H796" s="5">
        <v>2405.2096751547369</v>
      </c>
      <c r="I796" s="5">
        <v>2405.20962074815</v>
      </c>
      <c r="J796" s="5">
        <v>2405.178811884155</v>
      </c>
      <c r="K796" s="5">
        <v>2156.3000000000002</v>
      </c>
      <c r="L796" s="5">
        <v>2005.2187657069251</v>
      </c>
      <c r="M796" s="5">
        <v>1995</v>
      </c>
      <c r="N796" s="5">
        <v>2162.1545380506632</v>
      </c>
      <c r="O796" s="5">
        <v>2034.442762710672</v>
      </c>
      <c r="P796">
        <v>2033.2768599907381</v>
      </c>
      <c r="Q796" s="5">
        <v>1962.88526023636</v>
      </c>
      <c r="R796" s="5">
        <v>1998.482543945312</v>
      </c>
      <c r="S796" s="5">
        <v>1937.4251708984375</v>
      </c>
      <c r="T796" s="5">
        <v>2071.7716078020953</v>
      </c>
      <c r="U796" s="5">
        <v>2043.721443274253</v>
      </c>
      <c r="V796" s="5">
        <v>1806.5728966776974</v>
      </c>
    </row>
    <row r="797" spans="1:25">
      <c r="A797">
        <v>100</v>
      </c>
      <c r="B797">
        <v>1.5</v>
      </c>
      <c r="C797">
        <v>232.3</v>
      </c>
      <c r="D797">
        <v>36.19</v>
      </c>
      <c r="E797">
        <v>3</v>
      </c>
      <c r="F797">
        <v>505</v>
      </c>
      <c r="G797" s="35">
        <v>561.83898828559518</v>
      </c>
      <c r="H797" s="5">
        <v>-711.3529024353229</v>
      </c>
      <c r="I797" s="5">
        <v>-711.35251674261963</v>
      </c>
      <c r="J797" s="5">
        <v>-711.29018777868396</v>
      </c>
      <c r="K797" s="5">
        <v>477.51</v>
      </c>
      <c r="L797" s="5">
        <v>464.15710063119002</v>
      </c>
      <c r="M797" s="5">
        <v>491.5076979084792</v>
      </c>
      <c r="N797" s="5">
        <v>453.34066808360512</v>
      </c>
      <c r="O797" s="5">
        <v>514.08459471479637</v>
      </c>
      <c r="P797">
        <v>476.89568294738052</v>
      </c>
      <c r="Q797" s="5">
        <v>441.8375126742722</v>
      </c>
      <c r="R797" s="5">
        <v>441.74404907226563</v>
      </c>
      <c r="S797" s="5">
        <v>730.815185546875</v>
      </c>
      <c r="T797" s="5">
        <v>571.76632773997846</v>
      </c>
      <c r="U797" s="5">
        <v>442.11662944940105</v>
      </c>
      <c r="V797" s="5">
        <v>375.35343541779946</v>
      </c>
      <c r="W797" s="5">
        <v>397.26920295389976</v>
      </c>
      <c r="Y797" s="5">
        <v>359.26660440932699</v>
      </c>
    </row>
    <row r="798" spans="1:25">
      <c r="A798">
        <v>557.65</v>
      </c>
      <c r="B798">
        <v>16.52</v>
      </c>
      <c r="C798">
        <v>546</v>
      </c>
      <c r="D798">
        <v>25.36</v>
      </c>
      <c r="E798">
        <v>1.7840939657491259</v>
      </c>
      <c r="F798">
        <v>28830</v>
      </c>
      <c r="G798" s="35">
        <v>29024.346600082092</v>
      </c>
      <c r="H798" s="5">
        <v>18650.397270660382</v>
      </c>
      <c r="I798" s="5">
        <v>18650.395662439751</v>
      </c>
      <c r="J798" s="5">
        <v>18650.277710663191</v>
      </c>
      <c r="K798" s="5">
        <v>26834.428571428569</v>
      </c>
      <c r="L798" s="5">
        <v>27778.767996794879</v>
      </c>
      <c r="M798" s="5">
        <v>29050</v>
      </c>
      <c r="N798" s="5">
        <v>25831.918166148771</v>
      </c>
      <c r="O798" s="5">
        <v>28746.52629567789</v>
      </c>
      <c r="P798">
        <v>28510.337019665589</v>
      </c>
      <c r="Q798" s="5">
        <v>29050.000000000029</v>
      </c>
      <c r="R798" s="5">
        <v>27238.095703125</v>
      </c>
      <c r="S798" s="5">
        <v>28807.529296875</v>
      </c>
      <c r="T798" s="5">
        <v>28800.509564536176</v>
      </c>
      <c r="U798" s="5">
        <v>28789.272915057343</v>
      </c>
      <c r="V798" s="5">
        <v>27287.924536906372</v>
      </c>
      <c r="W798" s="5">
        <v>24031.879303713544</v>
      </c>
    </row>
    <row r="799" spans="1:25">
      <c r="A799">
        <v>114.09</v>
      </c>
      <c r="B799">
        <v>3.85</v>
      </c>
      <c r="C799">
        <v>343</v>
      </c>
      <c r="D799">
        <v>25.52</v>
      </c>
      <c r="E799">
        <v>2.6338855289683578</v>
      </c>
      <c r="F799">
        <v>948</v>
      </c>
      <c r="G799" s="35">
        <v>994.73469862516424</v>
      </c>
      <c r="H799" s="5">
        <v>549.71180371089304</v>
      </c>
      <c r="I799" s="5">
        <v>549.71221264874794</v>
      </c>
      <c r="J799" s="5">
        <v>549.74512108780664</v>
      </c>
      <c r="K799" s="5">
        <v>1011.725186622548</v>
      </c>
      <c r="L799" s="5">
        <v>1019.490113508943</v>
      </c>
      <c r="M799" s="5">
        <v>1002.8494440739011</v>
      </c>
      <c r="N799" s="5">
        <v>970.95008045272152</v>
      </c>
      <c r="O799" s="5">
        <v>979.42932526491074</v>
      </c>
      <c r="P799">
        <v>961.72523127240561</v>
      </c>
      <c r="Q799" s="5">
        <v>961.27984133352982</v>
      </c>
      <c r="R799" s="5">
        <v>1062.784423828125</v>
      </c>
      <c r="S799" s="5">
        <v>1042.8709716796875</v>
      </c>
      <c r="T799" s="5">
        <v>1046.7944946645941</v>
      </c>
      <c r="U799" s="5">
        <v>967.76632460649944</v>
      </c>
      <c r="V799" s="5">
        <v>864.13229395228245</v>
      </c>
      <c r="W799" s="5">
        <v>842.32882811626018</v>
      </c>
      <c r="Y799" s="5">
        <v>669.61314506633209</v>
      </c>
    </row>
    <row r="800" spans="1:25">
      <c r="A800">
        <v>127</v>
      </c>
      <c r="B800">
        <v>2</v>
      </c>
      <c r="C800">
        <v>258</v>
      </c>
      <c r="D800">
        <v>106.02</v>
      </c>
      <c r="E800">
        <v>3.5039370078740162</v>
      </c>
      <c r="F800">
        <v>1339</v>
      </c>
      <c r="G800" s="35">
        <v>1491</v>
      </c>
      <c r="H800" s="5">
        <v>1299.4368345377429</v>
      </c>
      <c r="I800" s="5">
        <v>1299.4367882312049</v>
      </c>
      <c r="J800" s="5">
        <v>1299.4304898440739</v>
      </c>
      <c r="K800" s="5">
        <v>1246.384615384615</v>
      </c>
      <c r="L800" s="5">
        <v>1516.59263919414</v>
      </c>
      <c r="M800" s="5">
        <v>1490.4699029126209</v>
      </c>
      <c r="N800" s="5">
        <v>1517.1653378269939</v>
      </c>
      <c r="O800" s="5">
        <v>1509.2076691085349</v>
      </c>
      <c r="P800">
        <v>1544.6527557244051</v>
      </c>
      <c r="Q800" s="5">
        <v>1379.7322445435129</v>
      </c>
      <c r="R800" s="5">
        <v>1493.640747070312</v>
      </c>
      <c r="S800" s="5">
        <v>1596.3104248046875</v>
      </c>
      <c r="T800" s="5">
        <v>1554.0079046595449</v>
      </c>
      <c r="U800" s="5">
        <v>1551.5513857299402</v>
      </c>
      <c r="V800" s="5">
        <v>1311.0920115613103</v>
      </c>
    </row>
    <row r="801" spans="1:25">
      <c r="A801">
        <v>166</v>
      </c>
      <c r="B801">
        <v>5.0999999999999996</v>
      </c>
      <c r="C801">
        <v>373.3</v>
      </c>
      <c r="D801">
        <v>49.364795117955481</v>
      </c>
      <c r="E801">
        <v>2.9698795180722888</v>
      </c>
      <c r="F801">
        <v>2315</v>
      </c>
      <c r="G801" s="35">
        <v>1795.528806474545</v>
      </c>
      <c r="H801" s="5">
        <v>3006.780564012055</v>
      </c>
      <c r="I801" s="5">
        <v>3006.7806128160119</v>
      </c>
      <c r="J801" s="5">
        <v>3006.780501763531</v>
      </c>
      <c r="K801" s="5">
        <v>1601.9416666666671</v>
      </c>
      <c r="L801" s="5">
        <v>2374.264789881212</v>
      </c>
      <c r="M801" s="5">
        <v>2346.9829086160771</v>
      </c>
      <c r="N801" s="5">
        <v>2356.3028467888098</v>
      </c>
      <c r="O801" s="5">
        <v>2489.278029693045</v>
      </c>
      <c r="P801">
        <v>2290.5893471705122</v>
      </c>
      <c r="Q801" s="5">
        <v>2243.427012088674</v>
      </c>
      <c r="R801" s="5">
        <v>2200.7548828125</v>
      </c>
      <c r="S801" s="5">
        <v>2464.15234375</v>
      </c>
      <c r="T801" s="5">
        <v>2468.0376595557454</v>
      </c>
      <c r="U801" s="5">
        <v>2500.1244731125071</v>
      </c>
      <c r="V801" s="5">
        <v>2189.9996365738493</v>
      </c>
      <c r="W801" s="5">
        <v>2330.4019712759327</v>
      </c>
      <c r="X801" s="5">
        <v>2301.7011807847098</v>
      </c>
      <c r="Y801" s="5">
        <v>1841.9169161703201</v>
      </c>
    </row>
    <row r="802" spans="1:25">
      <c r="A802">
        <v>101.8</v>
      </c>
      <c r="B802">
        <v>5.7</v>
      </c>
      <c r="C802">
        <v>305</v>
      </c>
      <c r="D802">
        <v>18</v>
      </c>
      <c r="E802">
        <v>1.9646365422396861</v>
      </c>
      <c r="F802">
        <v>954</v>
      </c>
      <c r="G802" s="35">
        <v>1489.0754422471659</v>
      </c>
      <c r="H802" s="5">
        <v>242.44909216348699</v>
      </c>
      <c r="I802" s="5">
        <v>242.44981549683331</v>
      </c>
      <c r="J802" s="5">
        <v>242.53138452512891</v>
      </c>
      <c r="K802" s="5">
        <v>1600.181</v>
      </c>
      <c r="L802" s="5">
        <v>1352.095919935203</v>
      </c>
      <c r="M802" s="5">
        <v>1179.4214732618441</v>
      </c>
      <c r="N802" s="5">
        <v>952.10816782035897</v>
      </c>
      <c r="O802" s="5">
        <v>997.9232339339884</v>
      </c>
      <c r="P802">
        <v>1091.881639630202</v>
      </c>
      <c r="Q802" s="5">
        <v>800.29135006367562</v>
      </c>
      <c r="R802" s="5">
        <v>940.1458740234375</v>
      </c>
      <c r="S802" s="5">
        <v>1433.3602294921875</v>
      </c>
      <c r="T802" s="5">
        <v>1216.4824359654997</v>
      </c>
      <c r="U802" s="5">
        <v>965.81315989190728</v>
      </c>
      <c r="V802" s="5">
        <v>872.87057921443102</v>
      </c>
      <c r="W802" s="5">
        <v>776.60980496527179</v>
      </c>
    </row>
    <row r="803" spans="1:25">
      <c r="A803">
        <v>401</v>
      </c>
      <c r="B803">
        <v>3.2</v>
      </c>
      <c r="C803">
        <v>265</v>
      </c>
      <c r="D803">
        <v>24.638000000000002</v>
      </c>
      <c r="E803">
        <v>4.1895261845386544</v>
      </c>
      <c r="F803">
        <v>3680</v>
      </c>
      <c r="G803" s="35">
        <v>2552.3679127125238</v>
      </c>
      <c r="H803" s="5">
        <v>9196.4871980817843</v>
      </c>
      <c r="I803" s="5">
        <v>9196.4858031317126</v>
      </c>
      <c r="J803" s="5">
        <v>9196.5467282120062</v>
      </c>
      <c r="K803" s="5">
        <v>6042.5787779603816</v>
      </c>
      <c r="L803" s="5">
        <v>6228.5542216117237</v>
      </c>
      <c r="M803" s="5">
        <v>4513.519417475728</v>
      </c>
      <c r="N803" s="5">
        <v>3994.1383795395309</v>
      </c>
      <c r="O803" s="5">
        <v>4105.2129945170154</v>
      </c>
      <c r="P803">
        <v>4101.0066039027261</v>
      </c>
      <c r="Q803" s="5">
        <v>4415.0000000000027</v>
      </c>
      <c r="R803" s="5">
        <v>4854.2080078125</v>
      </c>
      <c r="S803" s="5">
        <v>3601.788818359375</v>
      </c>
      <c r="T803" s="5">
        <v>3898.2453019216673</v>
      </c>
      <c r="U803" s="5">
        <v>4729.8948740495271</v>
      </c>
      <c r="V803" s="5">
        <v>3998.3813000623163</v>
      </c>
      <c r="W803" s="5">
        <v>3749.7323157160918</v>
      </c>
      <c r="Y803" s="5">
        <v>3745.6139807496888</v>
      </c>
    </row>
    <row r="804" spans="1:25">
      <c r="A804">
        <v>101.6</v>
      </c>
      <c r="B804">
        <v>3</v>
      </c>
      <c r="C804">
        <v>425.03</v>
      </c>
      <c r="D804">
        <v>93.51</v>
      </c>
      <c r="E804">
        <v>2.9527559055118111</v>
      </c>
      <c r="F804">
        <v>1075.5</v>
      </c>
      <c r="G804" s="35">
        <v>1302.9560455014739</v>
      </c>
      <c r="H804" s="5">
        <v>1337.441882994447</v>
      </c>
      <c r="I804" s="5">
        <v>1337.4419955305329</v>
      </c>
      <c r="J804" s="5">
        <v>1337.417724127409</v>
      </c>
      <c r="K804" s="5">
        <v>1053.272857142857</v>
      </c>
      <c r="L804" s="5">
        <v>1162.629260989024</v>
      </c>
      <c r="M804" s="5">
        <v>1201.8347896440091</v>
      </c>
      <c r="N804" s="5">
        <v>1191.6189305882911</v>
      </c>
      <c r="O804" s="5">
        <v>1217.781199118451</v>
      </c>
      <c r="P804">
        <v>1290.813865842998</v>
      </c>
      <c r="Q804" s="5">
        <v>1047.978535505262</v>
      </c>
      <c r="R804" s="5">
        <v>1314.896606445312</v>
      </c>
      <c r="S804" s="5">
        <v>1388.798583984375</v>
      </c>
      <c r="T804" s="5">
        <v>1359.9332235385514</v>
      </c>
      <c r="U804" s="5">
        <v>1311.0747808788974</v>
      </c>
      <c r="V804" s="5">
        <v>1126.9103324285263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6C1B-69A1-444F-96C8-419F187C00FD}">
  <dimension ref="A1:Y269"/>
  <sheetViews>
    <sheetView topLeftCell="D1" workbookViewId="0">
      <selection activeCell="Z1" sqref="Z1:Z1048576"/>
    </sheetView>
  </sheetViews>
  <sheetFormatPr defaultRowHeight="14.25"/>
  <cols>
    <col min="7" max="7" width="8.75" style="20"/>
    <col min="8" max="8" width="10.125" customWidth="1"/>
    <col min="14" max="14" width="13.375" customWidth="1"/>
    <col min="16" max="16" width="10.25" customWidth="1"/>
    <col min="17" max="18" width="9" style="20"/>
    <col min="19" max="23" width="10.25" customWidth="1"/>
    <col min="24" max="24" width="10.75" customWidth="1"/>
    <col min="25" max="25" width="10.875" customWidth="1"/>
  </cols>
  <sheetData>
    <row r="1" spans="1:25">
      <c r="A1" t="s">
        <v>33</v>
      </c>
      <c r="B1" t="s">
        <v>35</v>
      </c>
      <c r="C1" t="s">
        <v>88</v>
      </c>
      <c r="D1" t="s">
        <v>89</v>
      </c>
      <c r="E1" t="s">
        <v>37</v>
      </c>
      <c r="F1" s="15" t="s">
        <v>87</v>
      </c>
      <c r="G1" s="19" t="s">
        <v>31</v>
      </c>
      <c r="H1" s="15" t="s">
        <v>23</v>
      </c>
      <c r="I1" s="15" t="s">
        <v>11</v>
      </c>
      <c r="J1" s="15" t="s">
        <v>12</v>
      </c>
      <c r="K1" s="15" t="s">
        <v>24</v>
      </c>
      <c r="L1" s="15" t="s">
        <v>25</v>
      </c>
      <c r="M1" s="15" t="s">
        <v>26</v>
      </c>
      <c r="N1" s="15" t="s">
        <v>7</v>
      </c>
      <c r="O1" s="15" t="s">
        <v>6</v>
      </c>
      <c r="P1" s="15" t="s">
        <v>90</v>
      </c>
      <c r="Q1" s="21" t="s">
        <v>32</v>
      </c>
      <c r="R1" s="19" t="s">
        <v>91</v>
      </c>
      <c r="S1" s="17" t="s">
        <v>44</v>
      </c>
      <c r="T1" s="17" t="s">
        <v>86</v>
      </c>
      <c r="U1" s="18" t="s">
        <v>54</v>
      </c>
      <c r="V1" s="18" t="s">
        <v>55</v>
      </c>
      <c r="W1" s="18" t="s">
        <v>56</v>
      </c>
      <c r="X1" s="16" t="s">
        <v>14</v>
      </c>
      <c r="Y1" s="16" t="s">
        <v>13</v>
      </c>
    </row>
    <row r="2" spans="1:25">
      <c r="A2">
        <v>190</v>
      </c>
      <c r="B2">
        <v>1.1100000000000001</v>
      </c>
      <c r="C2">
        <v>203.1</v>
      </c>
      <c r="D2">
        <v>110.3</v>
      </c>
      <c r="E2">
        <v>3.4736842105263159</v>
      </c>
      <c r="F2">
        <v>3000</v>
      </c>
      <c r="G2" s="20">
        <v>2998.4096048436159</v>
      </c>
      <c r="H2">
        <v>3098.3368066315838</v>
      </c>
      <c r="I2">
        <v>3098.3363760636489</v>
      </c>
      <c r="J2">
        <v>3098.3392149361798</v>
      </c>
      <c r="K2">
        <v>2947.1798201798201</v>
      </c>
      <c r="L2">
        <v>3037.7800725425859</v>
      </c>
      <c r="M2">
        <v>3032.055339805825</v>
      </c>
      <c r="N2">
        <v>3047.1993920794539</v>
      </c>
      <c r="O2">
        <v>3029.9237888347429</v>
      </c>
      <c r="P2">
        <v>2972.9200635952361</v>
      </c>
      <c r="Q2" s="20">
        <v>2884.836731884915</v>
      </c>
      <c r="R2" s="20">
        <v>2984.0365722656252</v>
      </c>
      <c r="S2">
        <v>3056.9237304687499</v>
      </c>
      <c r="T2">
        <v>3002.8377615078089</v>
      </c>
      <c r="U2">
        <v>3247.3117807556073</v>
      </c>
      <c r="V2">
        <v>2644.2462066055159</v>
      </c>
    </row>
    <row r="3" spans="1:25">
      <c r="A3">
        <v>114.54</v>
      </c>
      <c r="B3">
        <v>3.84</v>
      </c>
      <c r="C3">
        <v>343</v>
      </c>
      <c r="D3">
        <v>79.12</v>
      </c>
      <c r="E3">
        <v>2.6191723415400729</v>
      </c>
      <c r="F3">
        <v>1359</v>
      </c>
      <c r="G3" s="20">
        <v>1220.6283857885039</v>
      </c>
      <c r="H3">
        <v>1363.106962433626</v>
      </c>
      <c r="I3">
        <v>1363.1072075463851</v>
      </c>
      <c r="J3">
        <v>1363.1158293446861</v>
      </c>
      <c r="K3">
        <v>1478.063333333334</v>
      </c>
      <c r="L3">
        <v>1294.461559995023</v>
      </c>
      <c r="M3">
        <v>1239.2241561870819</v>
      </c>
      <c r="N3">
        <v>1370.825767159427</v>
      </c>
      <c r="O3">
        <v>1297.04598109688</v>
      </c>
      <c r="P3">
        <v>1295.260064406539</v>
      </c>
      <c r="Q3" s="20">
        <v>1391.1700778934789</v>
      </c>
      <c r="R3" s="20">
        <v>1262.553540039062</v>
      </c>
      <c r="S3">
        <v>1212.5893798828124</v>
      </c>
      <c r="T3">
        <v>1523.6313558324009</v>
      </c>
      <c r="U3">
        <v>1451.6463893339489</v>
      </c>
      <c r="V3">
        <v>1251.4011206164537</v>
      </c>
    </row>
    <row r="4" spans="1:25">
      <c r="A4">
        <v>140</v>
      </c>
      <c r="B4">
        <v>4.5</v>
      </c>
      <c r="C4">
        <v>374.2</v>
      </c>
      <c r="D4">
        <v>37.83</v>
      </c>
      <c r="E4">
        <v>3</v>
      </c>
      <c r="F4">
        <v>1406.4</v>
      </c>
      <c r="G4" s="20">
        <v>1443.47346787585</v>
      </c>
      <c r="H4">
        <v>1819.9782081002929</v>
      </c>
      <c r="I4">
        <v>1819.9784130752</v>
      </c>
      <c r="J4">
        <v>1819.995806635688</v>
      </c>
      <c r="K4">
        <v>1550.31496947497</v>
      </c>
      <c r="L4">
        <v>1443.5730889345509</v>
      </c>
      <c r="M4">
        <v>1468.6797667273411</v>
      </c>
      <c r="N4">
        <v>1393.099931943726</v>
      </c>
      <c r="O4">
        <v>1484.3527480647531</v>
      </c>
      <c r="P4">
        <v>1396.1010887312641</v>
      </c>
      <c r="Q4" s="20">
        <v>1423.589287768388</v>
      </c>
      <c r="R4" s="20">
        <v>1379.9458984375001</v>
      </c>
      <c r="S4">
        <v>1682.9017089843751</v>
      </c>
      <c r="T4">
        <v>1676.4349726489177</v>
      </c>
      <c r="U4">
        <v>1671.1169510860379</v>
      </c>
      <c r="V4">
        <v>1478.1008241019938</v>
      </c>
      <c r="W4">
        <v>1515.9774364236998</v>
      </c>
      <c r="X4">
        <v>1530.719399965044</v>
      </c>
      <c r="Y4">
        <v>1192.4151757834379</v>
      </c>
    </row>
    <row r="5" spans="1:25">
      <c r="A5">
        <v>160</v>
      </c>
      <c r="B5">
        <v>2.5</v>
      </c>
      <c r="C5">
        <v>433.2</v>
      </c>
      <c r="D5">
        <v>32.22</v>
      </c>
      <c r="E5">
        <v>6</v>
      </c>
      <c r="F5">
        <v>1426</v>
      </c>
      <c r="G5" s="20">
        <v>1225.5121325684329</v>
      </c>
      <c r="H5">
        <v>2214.7221276579248</v>
      </c>
      <c r="I5">
        <v>2214.721737062936</v>
      </c>
      <c r="J5">
        <v>2214.6660371101389</v>
      </c>
      <c r="K5">
        <v>1588.587929278877</v>
      </c>
      <c r="L5">
        <v>1566.512838424173</v>
      </c>
      <c r="M5">
        <v>1503.261938529648</v>
      </c>
      <c r="N5">
        <v>1539.3505138911471</v>
      </c>
      <c r="O5">
        <v>1498.730049041566</v>
      </c>
      <c r="P5">
        <v>1626.4771148408979</v>
      </c>
      <c r="Q5" s="20">
        <v>1413.0772143401</v>
      </c>
      <c r="R5" s="20">
        <v>1473.001904296875</v>
      </c>
      <c r="S5">
        <v>1345.8685302734375</v>
      </c>
      <c r="T5">
        <v>1264.2919356240584</v>
      </c>
      <c r="U5">
        <v>1476.0736169177965</v>
      </c>
      <c r="V5">
        <v>1288.4311818463791</v>
      </c>
      <c r="W5">
        <v>1217.3710782326766</v>
      </c>
      <c r="X5">
        <v>1186.4073206827279</v>
      </c>
      <c r="Y5">
        <v>1075.2505831684321</v>
      </c>
    </row>
    <row r="6" spans="1:25">
      <c r="A6">
        <v>100</v>
      </c>
      <c r="B6">
        <v>3</v>
      </c>
      <c r="C6">
        <v>303.5</v>
      </c>
      <c r="D6">
        <v>32.457457285750117</v>
      </c>
      <c r="E6">
        <v>3</v>
      </c>
      <c r="F6">
        <v>766</v>
      </c>
      <c r="G6" s="20">
        <v>780.5333333333333</v>
      </c>
      <c r="H6">
        <v>-199.722619927323</v>
      </c>
      <c r="I6">
        <v>-199.7221738524558</v>
      </c>
      <c r="J6">
        <v>-199.66937642219591</v>
      </c>
      <c r="K6">
        <v>752.52619047619055</v>
      </c>
      <c r="L6">
        <v>775.22200303794148</v>
      </c>
      <c r="M6">
        <v>779.43421527936948</v>
      </c>
      <c r="N6">
        <v>762.5328934123587</v>
      </c>
      <c r="O6">
        <v>783.9617907093882</v>
      </c>
      <c r="P6">
        <v>761.51726046606643</v>
      </c>
      <c r="Q6" s="20">
        <v>726.84046103991091</v>
      </c>
      <c r="R6" s="20">
        <v>778.52103271484373</v>
      </c>
      <c r="S6">
        <v>743.36789550781248</v>
      </c>
      <c r="T6">
        <v>784.62523113556176</v>
      </c>
      <c r="U6">
        <v>674.73396984035924</v>
      </c>
      <c r="V6">
        <v>594.58538281739277</v>
      </c>
      <c r="W6">
        <v>629.45225878916744</v>
      </c>
      <c r="X6">
        <v>629.33383803399397</v>
      </c>
      <c r="Y6">
        <v>488.35470424307027</v>
      </c>
    </row>
    <row r="7" spans="1:25">
      <c r="A7">
        <v>76.453999999999994</v>
      </c>
      <c r="B7">
        <v>1.6763999999999999</v>
      </c>
      <c r="C7">
        <v>363.28476108320001</v>
      </c>
      <c r="D7">
        <v>40.885910670400001</v>
      </c>
      <c r="E7">
        <v>1.992691029900332</v>
      </c>
      <c r="F7">
        <v>434.59125031999997</v>
      </c>
      <c r="G7" s="20">
        <v>444.66360495402938</v>
      </c>
      <c r="H7">
        <v>-1042.618897497433</v>
      </c>
      <c r="I7">
        <v>-1042.6183300901321</v>
      </c>
      <c r="J7">
        <v>-1042.5480055344501</v>
      </c>
      <c r="K7">
        <v>419.37136420393529</v>
      </c>
      <c r="L7">
        <v>448.58586374238678</v>
      </c>
      <c r="M7">
        <v>448.03790013540458</v>
      </c>
      <c r="N7">
        <v>438.83206168546502</v>
      </c>
      <c r="O7">
        <v>448.42706627236589</v>
      </c>
      <c r="P7">
        <v>443.83651681683989</v>
      </c>
      <c r="Q7" s="20">
        <v>437.0241930551141</v>
      </c>
      <c r="R7" s="20">
        <v>420.70430908203127</v>
      </c>
      <c r="S7">
        <v>453.01811218261719</v>
      </c>
      <c r="T7">
        <v>492.44784764265586</v>
      </c>
      <c r="U7">
        <v>403.37028348625148</v>
      </c>
      <c r="V7">
        <v>351.21735107283445</v>
      </c>
      <c r="W7">
        <v>385.31294135405869</v>
      </c>
      <c r="X7">
        <v>396.16996013855061</v>
      </c>
      <c r="Y7">
        <v>305.00290827153708</v>
      </c>
    </row>
    <row r="8" spans="1:25">
      <c r="A8">
        <v>127</v>
      </c>
      <c r="B8">
        <v>2.4</v>
      </c>
      <c r="C8">
        <v>289.60000000000002</v>
      </c>
      <c r="D8">
        <v>22.787517844640998</v>
      </c>
      <c r="E8">
        <v>7.1968503937007871</v>
      </c>
      <c r="F8">
        <v>627.20000000000005</v>
      </c>
      <c r="G8" s="20">
        <v>654.40482735799685</v>
      </c>
      <c r="H8">
        <v>569.9705369693545</v>
      </c>
      <c r="I8">
        <v>569.97033872160659</v>
      </c>
      <c r="J8">
        <v>569.92865002078906</v>
      </c>
      <c r="K8">
        <v>750.05212698412697</v>
      </c>
      <c r="L8">
        <v>677.52218750050088</v>
      </c>
      <c r="M8">
        <v>662.683239482202</v>
      </c>
      <c r="N8">
        <v>621.45329187912716</v>
      </c>
      <c r="O8">
        <v>624.52344550870055</v>
      </c>
      <c r="P8">
        <v>617.33519046291144</v>
      </c>
      <c r="Q8" s="20">
        <v>728.39509725257267</v>
      </c>
      <c r="R8" s="20">
        <v>637.89456787109373</v>
      </c>
      <c r="S8">
        <v>635.76936035156245</v>
      </c>
      <c r="T8">
        <v>637.31366203003267</v>
      </c>
      <c r="U8">
        <v>708.00755287464438</v>
      </c>
      <c r="V8">
        <v>620.82693647956887</v>
      </c>
      <c r="W8">
        <v>585.76719903131777</v>
      </c>
      <c r="Y8">
        <v>507.78944764356982</v>
      </c>
    </row>
    <row r="9" spans="1:25">
      <c r="A9">
        <v>89.32</v>
      </c>
      <c r="B9">
        <v>2.74</v>
      </c>
      <c r="C9">
        <v>360</v>
      </c>
      <c r="D9">
        <v>30.684449358246841</v>
      </c>
      <c r="E9">
        <v>3.8065382892969102</v>
      </c>
      <c r="F9">
        <v>599</v>
      </c>
      <c r="G9" s="20">
        <v>595.77148256882367</v>
      </c>
      <c r="H9">
        <v>-394.13337308703058</v>
      </c>
      <c r="I9">
        <v>-394.13301067238308</v>
      </c>
      <c r="J9">
        <v>-394.10864818771978</v>
      </c>
      <c r="K9">
        <v>595.58829900882142</v>
      </c>
      <c r="L9">
        <v>596.48658167765643</v>
      </c>
      <c r="M9">
        <v>585.79423689688917</v>
      </c>
      <c r="N9">
        <v>585.31490758571499</v>
      </c>
      <c r="O9">
        <v>601.44021831848102</v>
      </c>
      <c r="P9">
        <v>603.68536567299066</v>
      </c>
      <c r="Q9" s="20">
        <v>614.28594070102974</v>
      </c>
      <c r="R9" s="20">
        <v>599.21317138671873</v>
      </c>
      <c r="S9">
        <v>621.38999023437498</v>
      </c>
      <c r="T9">
        <v>661.50974848417354</v>
      </c>
      <c r="U9">
        <v>604.04481084108772</v>
      </c>
      <c r="V9">
        <v>536.18216113760946</v>
      </c>
      <c r="W9">
        <v>543.8612149042375</v>
      </c>
      <c r="X9">
        <v>531.72652398238722</v>
      </c>
      <c r="Y9">
        <v>424.52001664783518</v>
      </c>
    </row>
    <row r="10" spans="1:25">
      <c r="A10">
        <v>190.7</v>
      </c>
      <c r="B10">
        <v>6</v>
      </c>
      <c r="C10">
        <v>505</v>
      </c>
      <c r="D10">
        <v>48.4</v>
      </c>
      <c r="E10">
        <v>6.0304142632406927</v>
      </c>
      <c r="F10">
        <v>3150</v>
      </c>
      <c r="G10" s="20">
        <v>3156.1547109218532</v>
      </c>
      <c r="H10">
        <v>4672.2907461199993</v>
      </c>
      <c r="I10">
        <v>4672.2902175363624</v>
      </c>
      <c r="J10">
        <v>4672.1766842735697</v>
      </c>
      <c r="K10">
        <v>2949.2865207787891</v>
      </c>
      <c r="L10">
        <v>3162.228835826028</v>
      </c>
      <c r="M10">
        <v>3117.0578000297828</v>
      </c>
      <c r="N10">
        <v>3056.1471435752501</v>
      </c>
      <c r="O10">
        <v>3051.6345359949441</v>
      </c>
      <c r="P10">
        <v>3075.2735578020529</v>
      </c>
      <c r="Q10" s="20">
        <v>3106.4381718852328</v>
      </c>
      <c r="R10" s="20">
        <v>3087.6331542968751</v>
      </c>
      <c r="S10">
        <v>3104.5805175781252</v>
      </c>
      <c r="T10">
        <v>3205.8223890188401</v>
      </c>
      <c r="U10">
        <v>3886.3133779191903</v>
      </c>
      <c r="V10">
        <v>3596.3335942619779</v>
      </c>
      <c r="W10">
        <v>3616.3697194534666</v>
      </c>
      <c r="Y10">
        <v>2803.076042450019</v>
      </c>
    </row>
    <row r="11" spans="1:25">
      <c r="A11">
        <v>164.5</v>
      </c>
      <c r="B11">
        <v>2.34</v>
      </c>
      <c r="C11">
        <v>315</v>
      </c>
      <c r="D11">
        <v>37.3623262668659</v>
      </c>
      <c r="E11">
        <v>6.0182370820668689</v>
      </c>
      <c r="F11">
        <v>1682</v>
      </c>
      <c r="G11" s="20">
        <v>1543.914751343573</v>
      </c>
      <c r="H11">
        <v>1994.2606463556381</v>
      </c>
      <c r="I11">
        <v>1994.2602935207519</v>
      </c>
      <c r="J11">
        <v>1994.22688142886</v>
      </c>
      <c r="K11">
        <v>1640.389818145685</v>
      </c>
      <c r="L11">
        <v>1658.7372683063909</v>
      </c>
      <c r="M11">
        <v>1703.316294116531</v>
      </c>
      <c r="N11">
        <v>1322.1655469094289</v>
      </c>
      <c r="O11">
        <v>1459.3356001675741</v>
      </c>
      <c r="P11">
        <v>1450.706748719635</v>
      </c>
      <c r="Q11" s="20">
        <v>1491.232986176771</v>
      </c>
      <c r="R11" s="20">
        <v>1556.240478515625</v>
      </c>
      <c r="S11">
        <v>1409.975390625</v>
      </c>
      <c r="T11">
        <v>1193.2359238958081</v>
      </c>
      <c r="U11">
        <v>1357.848977756795</v>
      </c>
      <c r="V11">
        <v>1161.77385075194</v>
      </c>
      <c r="W11">
        <v>1153.4931782053111</v>
      </c>
      <c r="X11">
        <v>1154.794579867299</v>
      </c>
      <c r="Y11">
        <v>1051.8142361007999</v>
      </c>
    </row>
    <row r="12" spans="1:25">
      <c r="A12">
        <v>114.3</v>
      </c>
      <c r="B12">
        <v>6</v>
      </c>
      <c r="C12">
        <v>342.95</v>
      </c>
      <c r="D12">
        <v>88.78</v>
      </c>
      <c r="E12">
        <v>5</v>
      </c>
      <c r="F12">
        <v>1448.1</v>
      </c>
      <c r="G12" s="20">
        <v>1543.7033149690519</v>
      </c>
      <c r="H12">
        <v>2267.9045953131549</v>
      </c>
      <c r="I12">
        <v>2267.904620543793</v>
      </c>
      <c r="J12">
        <v>2267.830299659001</v>
      </c>
      <c r="K12">
        <v>1531.755587301587</v>
      </c>
      <c r="L12">
        <v>1423.7997341939081</v>
      </c>
      <c r="M12">
        <v>1426.365116824923</v>
      </c>
      <c r="N12">
        <v>1496.4756766126659</v>
      </c>
      <c r="O12">
        <v>1509.0676447590299</v>
      </c>
      <c r="P12">
        <v>1580.617240935361</v>
      </c>
      <c r="Q12" s="20">
        <v>1555.051965252622</v>
      </c>
      <c r="R12" s="20">
        <v>1518.3943847656251</v>
      </c>
      <c r="S12">
        <v>1772.5975830078125</v>
      </c>
      <c r="T12">
        <v>1806.0774644998296</v>
      </c>
      <c r="U12">
        <v>1863.8828748392561</v>
      </c>
      <c r="V12">
        <v>1625.4435121238819</v>
      </c>
    </row>
    <row r="13" spans="1:25">
      <c r="A13">
        <v>166</v>
      </c>
      <c r="B13">
        <v>5</v>
      </c>
      <c r="C13">
        <v>274.60000000000002</v>
      </c>
      <c r="D13">
        <v>18.720078217418219</v>
      </c>
      <c r="E13">
        <v>3.975903614457831</v>
      </c>
      <c r="F13">
        <v>1800</v>
      </c>
      <c r="G13" s="20">
        <v>1822.8666666666661</v>
      </c>
      <c r="H13">
        <v>2201.7112712375142</v>
      </c>
      <c r="I13">
        <v>2201.7113761003611</v>
      </c>
      <c r="J13">
        <v>2201.734880382905</v>
      </c>
      <c r="K13">
        <v>1841.8780006482241</v>
      </c>
      <c r="L13">
        <v>1871.054211469376</v>
      </c>
      <c r="M13">
        <v>1871.479410427236</v>
      </c>
      <c r="N13">
        <v>1882.9203776029469</v>
      </c>
      <c r="O13">
        <v>1874.026184442359</v>
      </c>
      <c r="P13">
        <v>1861.620701899986</v>
      </c>
      <c r="Q13" s="20">
        <v>1772.918240836696</v>
      </c>
      <c r="R13" s="20">
        <v>1868.045629882813</v>
      </c>
      <c r="S13">
        <v>1839.0599365234375</v>
      </c>
      <c r="T13">
        <v>1679.9889098782562</v>
      </c>
      <c r="U13">
        <v>1482.8280124552666</v>
      </c>
      <c r="V13">
        <v>1323.3975976374068</v>
      </c>
      <c r="W13">
        <v>1267.3536181476302</v>
      </c>
    </row>
    <row r="14" spans="1:25">
      <c r="A14">
        <v>107.9</v>
      </c>
      <c r="B14">
        <v>8.01</v>
      </c>
      <c r="C14">
        <v>251.8</v>
      </c>
      <c r="D14">
        <v>113.2</v>
      </c>
      <c r="E14">
        <v>3.1696014828544952</v>
      </c>
      <c r="F14">
        <v>1482</v>
      </c>
      <c r="G14" s="20">
        <v>1662.1020302129471</v>
      </c>
      <c r="H14">
        <v>2582.555052599394</v>
      </c>
      <c r="I14">
        <v>2582.5554105163419</v>
      </c>
      <c r="J14">
        <v>2582.5149356943598</v>
      </c>
      <c r="K14">
        <v>1531.755587301587</v>
      </c>
      <c r="L14">
        <v>1637.70793015612</v>
      </c>
      <c r="M14">
        <v>1549.5652588996761</v>
      </c>
      <c r="N14">
        <v>1691.657529656015</v>
      </c>
      <c r="O14">
        <v>1686.0556191683449</v>
      </c>
      <c r="P14">
        <v>1679.864855720029</v>
      </c>
      <c r="Q14" s="20">
        <v>1521.597909459399</v>
      </c>
      <c r="R14" s="20">
        <v>1583.771801757812</v>
      </c>
      <c r="S14">
        <v>1217.5730712890625</v>
      </c>
      <c r="T14">
        <v>1791.2433946230078</v>
      </c>
      <c r="U14">
        <v>1661.9762020314513</v>
      </c>
      <c r="V14">
        <v>1538.283270318509</v>
      </c>
    </row>
    <row r="15" spans="1:25">
      <c r="A15">
        <v>101.8</v>
      </c>
      <c r="B15">
        <v>5.7</v>
      </c>
      <c r="C15">
        <v>305</v>
      </c>
      <c r="D15">
        <v>37.4</v>
      </c>
      <c r="E15">
        <v>1.9646365422396861</v>
      </c>
      <c r="F15">
        <v>971</v>
      </c>
      <c r="G15" s="20">
        <v>1438.935998580564</v>
      </c>
      <c r="H15">
        <v>621.20365335898714</v>
      </c>
      <c r="I15">
        <v>621.20431824806633</v>
      </c>
      <c r="J15">
        <v>621.26002152352316</v>
      </c>
      <c r="K15">
        <v>1437.0737939898511</v>
      </c>
      <c r="L15">
        <v>1228.521334455754</v>
      </c>
      <c r="M15">
        <v>1128.30212558331</v>
      </c>
      <c r="N15">
        <v>989.64624164497275</v>
      </c>
      <c r="O15">
        <v>1007.14251713726</v>
      </c>
      <c r="P15">
        <v>1056.802534819552</v>
      </c>
      <c r="Q15" s="20">
        <v>925.2002620199695</v>
      </c>
      <c r="R15" s="20">
        <v>964.4149169921875</v>
      </c>
      <c r="S15">
        <v>1545.1505126953125</v>
      </c>
      <c r="T15">
        <v>1432.30202745265</v>
      </c>
      <c r="U15">
        <v>1090.3301093187149</v>
      </c>
      <c r="V15">
        <v>972.48413875587744</v>
      </c>
      <c r="W15">
        <v>966.0064903147728</v>
      </c>
      <c r="X15">
        <v>1038.610559761114</v>
      </c>
      <c r="Y15">
        <v>750.92500607016336</v>
      </c>
    </row>
    <row r="16" spans="1:25">
      <c r="A16">
        <v>108</v>
      </c>
      <c r="B16">
        <v>4</v>
      </c>
      <c r="C16">
        <v>324</v>
      </c>
      <c r="D16">
        <v>28.99</v>
      </c>
      <c r="E16">
        <v>3.137777777777778</v>
      </c>
      <c r="F16">
        <v>1073.0999999999999</v>
      </c>
      <c r="G16" s="20">
        <v>1055.888717289972</v>
      </c>
      <c r="H16">
        <v>355.13950198780452</v>
      </c>
      <c r="I16">
        <v>355.13992697336738</v>
      </c>
      <c r="J16">
        <v>355.17951491644948</v>
      </c>
      <c r="K16">
        <v>985.37676200585736</v>
      </c>
      <c r="L16">
        <v>1031.571917418886</v>
      </c>
      <c r="M16">
        <v>1055.4374358002799</v>
      </c>
      <c r="N16">
        <v>1035.7359231655721</v>
      </c>
      <c r="O16">
        <v>1036.700425095064</v>
      </c>
      <c r="P16">
        <v>983.78732892070002</v>
      </c>
      <c r="Q16" s="20">
        <v>960.66680373925738</v>
      </c>
      <c r="R16" s="20">
        <v>1045.5748657226561</v>
      </c>
      <c r="S16">
        <v>998.0455322265625</v>
      </c>
      <c r="T16">
        <v>997.73656830612958</v>
      </c>
      <c r="U16">
        <v>913.65393480766397</v>
      </c>
      <c r="V16">
        <v>813.83885039556628</v>
      </c>
      <c r="W16">
        <v>812.72268445864995</v>
      </c>
      <c r="X16">
        <v>833.08834960300851</v>
      </c>
      <c r="Y16">
        <v>635.448288115266</v>
      </c>
    </row>
    <row r="17" spans="1:25">
      <c r="A17">
        <v>355.6</v>
      </c>
      <c r="B17">
        <v>11.18</v>
      </c>
      <c r="C17">
        <v>361</v>
      </c>
      <c r="D17">
        <v>33.299999999999997</v>
      </c>
      <c r="E17">
        <v>5.2868391451068613</v>
      </c>
      <c r="F17">
        <v>10710</v>
      </c>
      <c r="G17" s="20">
        <v>10513.35535525597</v>
      </c>
      <c r="H17">
        <v>10577.55497562679</v>
      </c>
      <c r="I17">
        <v>10577.55397138453</v>
      </c>
      <c r="J17">
        <v>10577.447050397859</v>
      </c>
      <c r="K17">
        <v>8810.0611421911417</v>
      </c>
      <c r="L17">
        <v>9725.2044338068663</v>
      </c>
      <c r="M17">
        <v>10518.411650485439</v>
      </c>
      <c r="N17">
        <v>11753.59605739381</v>
      </c>
      <c r="O17">
        <v>10448.80377958303</v>
      </c>
      <c r="P17">
        <v>10343.405510283539</v>
      </c>
      <c r="Q17" s="20">
        <v>9927.459213220518</v>
      </c>
      <c r="R17" s="20">
        <v>11344.4521484375</v>
      </c>
      <c r="S17">
        <v>11095.22109375</v>
      </c>
      <c r="T17">
        <v>9622.2886484831342</v>
      </c>
      <c r="U17">
        <v>9978.9520388253422</v>
      </c>
      <c r="V17">
        <v>8844.1668587669374</v>
      </c>
      <c r="W17">
        <v>8639.3857099321704</v>
      </c>
      <c r="X17">
        <v>8098.269152989059</v>
      </c>
      <c r="Y17">
        <v>6973.4384847606007</v>
      </c>
    </row>
    <row r="18" spans="1:25">
      <c r="A18">
        <v>149</v>
      </c>
      <c r="B18">
        <v>2.96</v>
      </c>
      <c r="C18">
        <v>308</v>
      </c>
      <c r="D18">
        <v>40.5</v>
      </c>
      <c r="E18">
        <v>3</v>
      </c>
      <c r="F18">
        <v>1080</v>
      </c>
      <c r="G18" s="20">
        <v>1073.342619145398</v>
      </c>
      <c r="H18">
        <v>1497.7660490867829</v>
      </c>
      <c r="I18">
        <v>1497.766172343622</v>
      </c>
      <c r="J18">
        <v>1497.8057590865251</v>
      </c>
      <c r="K18">
        <v>1316.783539497143</v>
      </c>
      <c r="L18">
        <v>1254.256608239732</v>
      </c>
      <c r="M18">
        <v>1158.5643705099831</v>
      </c>
      <c r="N18">
        <v>1192.9546257605739</v>
      </c>
      <c r="O18">
        <v>1186.433760398214</v>
      </c>
      <c r="P18">
        <v>1200.8809845659521</v>
      </c>
      <c r="Q18" s="20">
        <v>1248.4855826634421</v>
      </c>
      <c r="R18" s="20">
        <v>1109.9416015625</v>
      </c>
      <c r="S18">
        <v>1439.5899902343749</v>
      </c>
      <c r="T18">
        <v>1393.8786888265035</v>
      </c>
      <c r="U18">
        <v>1328.7915287047672</v>
      </c>
      <c r="V18">
        <v>1146.6101097344451</v>
      </c>
      <c r="W18">
        <v>1118.7703195551287</v>
      </c>
      <c r="X18">
        <v>1256.2965865151509</v>
      </c>
      <c r="Y18">
        <v>1028.974833797042</v>
      </c>
    </row>
    <row r="19" spans="1:25">
      <c r="A19">
        <v>100</v>
      </c>
      <c r="B19">
        <v>1.5</v>
      </c>
      <c r="C19">
        <v>232.3</v>
      </c>
      <c r="D19">
        <v>34.85</v>
      </c>
      <c r="E19">
        <v>3</v>
      </c>
      <c r="F19">
        <v>505</v>
      </c>
      <c r="G19" s="20">
        <v>525.75011438642161</v>
      </c>
      <c r="H19">
        <v>-819.49926350513908</v>
      </c>
      <c r="I19">
        <v>-819.49883943234522</v>
      </c>
      <c r="J19">
        <v>-819.4216815146716</v>
      </c>
      <c r="K19">
        <v>475.47935557753527</v>
      </c>
      <c r="L19">
        <v>490.47648452353701</v>
      </c>
      <c r="M19">
        <v>500.60656022246059</v>
      </c>
      <c r="N19">
        <v>451.62003133426288</v>
      </c>
      <c r="O19">
        <v>500.82314757776783</v>
      </c>
      <c r="P19">
        <v>495.19184565051381</v>
      </c>
      <c r="Q19" s="20">
        <v>465.98529174721932</v>
      </c>
      <c r="R19" s="20">
        <v>489.63681640624998</v>
      </c>
      <c r="S19">
        <v>582.94638671874998</v>
      </c>
      <c r="T19">
        <v>559.56143219626267</v>
      </c>
      <c r="U19">
        <v>432.21428228139621</v>
      </c>
      <c r="V19">
        <v>367.43155768339562</v>
      </c>
      <c r="W19">
        <v>387.39059631157858</v>
      </c>
      <c r="Y19">
        <v>349.97487327215458</v>
      </c>
    </row>
    <row r="20" spans="1:25">
      <c r="A20">
        <v>166</v>
      </c>
      <c r="B20">
        <v>5</v>
      </c>
      <c r="C20">
        <v>288.10000000000002</v>
      </c>
      <c r="D20">
        <v>55.65</v>
      </c>
      <c r="E20">
        <v>6.2650602409638552</v>
      </c>
      <c r="F20">
        <v>1852</v>
      </c>
      <c r="G20" s="20">
        <v>1809.6917055737549</v>
      </c>
      <c r="H20">
        <v>2999.1169732384478</v>
      </c>
      <c r="I20">
        <v>2999.1166591659371</v>
      </c>
      <c r="J20">
        <v>2999.0496628535511</v>
      </c>
      <c r="K20">
        <v>2232.976951381951</v>
      </c>
      <c r="L20">
        <v>1985.9634334278171</v>
      </c>
      <c r="M20">
        <v>1885.9570515812311</v>
      </c>
      <c r="N20">
        <v>1804.344142427723</v>
      </c>
      <c r="O20">
        <v>1829.2767073248369</v>
      </c>
      <c r="P20">
        <v>1891.178865220551</v>
      </c>
      <c r="Q20" s="20">
        <v>1985.693383134208</v>
      </c>
      <c r="R20" s="20">
        <v>1852.206079101562</v>
      </c>
      <c r="S20">
        <v>1740.86005859375</v>
      </c>
      <c r="T20">
        <v>1971.6745637517117</v>
      </c>
      <c r="U20">
        <v>2243.9950532594353</v>
      </c>
      <c r="V20">
        <v>1939.0731277082291</v>
      </c>
      <c r="W20">
        <v>2139.8778764645372</v>
      </c>
      <c r="X20">
        <v>1836.387043280261</v>
      </c>
      <c r="Y20">
        <v>1683.512992752296</v>
      </c>
    </row>
    <row r="21" spans="1:25">
      <c r="A21">
        <v>216.3</v>
      </c>
      <c r="B21">
        <v>8.1999999999999993</v>
      </c>
      <c r="C21">
        <v>381.1</v>
      </c>
      <c r="D21">
        <v>39.770000000000003</v>
      </c>
      <c r="E21">
        <v>3</v>
      </c>
      <c r="F21">
        <v>3800.3</v>
      </c>
      <c r="G21" s="20">
        <v>3734.5940577593651</v>
      </c>
      <c r="H21">
        <v>5332.1457853453467</v>
      </c>
      <c r="I21">
        <v>5332.1456991022951</v>
      </c>
      <c r="J21">
        <v>5332.1248692437084</v>
      </c>
      <c r="K21">
        <v>4168.6790439179567</v>
      </c>
      <c r="L21">
        <v>3886.6780940452618</v>
      </c>
      <c r="M21">
        <v>3880.8792337920718</v>
      </c>
      <c r="N21">
        <v>4590.3453203632407</v>
      </c>
      <c r="O21">
        <v>3839.0512435737351</v>
      </c>
      <c r="P21">
        <v>3891.7778686658121</v>
      </c>
      <c r="Q21" s="20">
        <v>3830.3214723736901</v>
      </c>
      <c r="R21" s="20">
        <v>3788.9690917968751</v>
      </c>
      <c r="S21">
        <v>4010.8116699218749</v>
      </c>
      <c r="T21">
        <v>4357.938561186179</v>
      </c>
      <c r="U21">
        <v>4557.8709767980818</v>
      </c>
      <c r="V21">
        <v>4045.9191720417743</v>
      </c>
      <c r="W21">
        <v>4024.8940186736982</v>
      </c>
      <c r="X21">
        <v>4131.7358763789243</v>
      </c>
      <c r="Y21">
        <v>3205.2320870852432</v>
      </c>
    </row>
    <row r="22" spans="1:25">
      <c r="A22">
        <v>127</v>
      </c>
      <c r="B22">
        <v>2.4</v>
      </c>
      <c r="C22">
        <v>289.60000000000002</v>
      </c>
      <c r="D22">
        <v>22.787517844640998</v>
      </c>
      <c r="E22">
        <v>7.1968503937007871</v>
      </c>
      <c r="F22">
        <v>622.70000000000005</v>
      </c>
      <c r="G22" s="20">
        <v>654.40482735799685</v>
      </c>
      <c r="H22">
        <v>569.9705369693545</v>
      </c>
      <c r="I22">
        <v>569.97033872160659</v>
      </c>
      <c r="J22">
        <v>569.92865002078906</v>
      </c>
      <c r="K22">
        <v>750.05212698412697</v>
      </c>
      <c r="L22">
        <v>677.52218750050088</v>
      </c>
      <c r="M22">
        <v>662.683239482202</v>
      </c>
      <c r="N22">
        <v>621.45329187912716</v>
      </c>
      <c r="O22">
        <v>624.52344550870055</v>
      </c>
      <c r="P22">
        <v>617.33519046291144</v>
      </c>
      <c r="Q22" s="20">
        <v>728.39509725257267</v>
      </c>
      <c r="R22" s="20">
        <v>637.89456787109373</v>
      </c>
      <c r="S22">
        <v>635.76936035156245</v>
      </c>
      <c r="T22">
        <v>637.31366203003267</v>
      </c>
      <c r="U22">
        <v>708.00755287464438</v>
      </c>
      <c r="V22">
        <v>620.82693647956887</v>
      </c>
      <c r="W22">
        <v>585.76719903131777</v>
      </c>
      <c r="Y22">
        <v>507.78944764356982</v>
      </c>
    </row>
    <row r="23" spans="1:25">
      <c r="A23">
        <v>133</v>
      </c>
      <c r="B23">
        <v>5</v>
      </c>
      <c r="C23">
        <v>306</v>
      </c>
      <c r="D23">
        <v>57.28</v>
      </c>
      <c r="E23">
        <v>3</v>
      </c>
      <c r="F23">
        <v>1673</v>
      </c>
      <c r="G23" s="20">
        <v>1691.2000544115119</v>
      </c>
      <c r="H23">
        <v>1817.2782307444349</v>
      </c>
      <c r="I23">
        <v>1817.2784828404831</v>
      </c>
      <c r="J23">
        <v>1817.2928630308861</v>
      </c>
      <c r="K23">
        <v>1610.467142857143</v>
      </c>
      <c r="L23">
        <v>1671.302504896232</v>
      </c>
      <c r="M23">
        <v>1683.3398564843999</v>
      </c>
      <c r="N23">
        <v>1562.657093193736</v>
      </c>
      <c r="O23">
        <v>1581.250426711963</v>
      </c>
      <c r="P23">
        <v>1617.8852088978119</v>
      </c>
      <c r="Q23" s="20">
        <v>1581.639550103079</v>
      </c>
      <c r="R23" s="20">
        <v>1661.250927734375</v>
      </c>
      <c r="S23">
        <v>1640.6343750000001</v>
      </c>
      <c r="T23">
        <v>1713.4375384970124</v>
      </c>
      <c r="U23">
        <v>1677.3217018202315</v>
      </c>
      <c r="V23">
        <v>1462.2495126178828</v>
      </c>
      <c r="W23">
        <v>1588.5983428548047</v>
      </c>
      <c r="X23">
        <v>1548.900403183796</v>
      </c>
      <c r="Y23">
        <v>1252.744922854383</v>
      </c>
    </row>
    <row r="24" spans="1:25">
      <c r="A24">
        <v>360</v>
      </c>
      <c r="B24">
        <v>4.54</v>
      </c>
      <c r="C24">
        <v>525</v>
      </c>
      <c r="D24">
        <v>85.1</v>
      </c>
      <c r="E24">
        <v>3</v>
      </c>
      <c r="F24">
        <v>11505</v>
      </c>
      <c r="G24" s="20">
        <v>6699.308188966761</v>
      </c>
      <c r="H24">
        <v>10129.882065644249</v>
      </c>
      <c r="I24">
        <v>10129.88068885432</v>
      </c>
      <c r="J24">
        <v>10129.79923014377</v>
      </c>
      <c r="K24">
        <v>9456.5010989010989</v>
      </c>
      <c r="L24">
        <v>8977.8238554150957</v>
      </c>
      <c r="M24">
        <v>9145.2330097087433</v>
      </c>
      <c r="N24">
        <v>11305.762286081779</v>
      </c>
      <c r="O24">
        <v>10064.656670145399</v>
      </c>
      <c r="P24">
        <v>10550.417261814189</v>
      </c>
      <c r="Q24" s="20">
        <v>8893.207892049677</v>
      </c>
      <c r="R24" s="20">
        <v>9149.4613281250004</v>
      </c>
      <c r="S24">
        <v>12277.8154296875</v>
      </c>
      <c r="T24">
        <v>11383.109825596945</v>
      </c>
      <c r="U24">
        <v>12276.432244092173</v>
      </c>
      <c r="V24">
        <v>10570.123006301483</v>
      </c>
      <c r="W24">
        <v>10212.065594844478</v>
      </c>
    </row>
    <row r="25" spans="1:25">
      <c r="A25">
        <v>115.04</v>
      </c>
      <c r="B25">
        <v>4.92</v>
      </c>
      <c r="C25">
        <v>365</v>
      </c>
      <c r="D25">
        <v>83.920000000000016</v>
      </c>
      <c r="E25">
        <v>2.6077885952712099</v>
      </c>
      <c r="F25">
        <v>1787</v>
      </c>
      <c r="G25" s="20">
        <v>1485.2869305497029</v>
      </c>
      <c r="H25">
        <v>1830.233271612263</v>
      </c>
      <c r="I25">
        <v>1830.23353026222</v>
      </c>
      <c r="J25">
        <v>1830.2261274808361</v>
      </c>
      <c r="K25">
        <v>1840.3754538239541</v>
      </c>
      <c r="L25">
        <v>1793.7295513171659</v>
      </c>
      <c r="M25">
        <v>1621.8347928802591</v>
      </c>
      <c r="N25">
        <v>1878.4422326132051</v>
      </c>
      <c r="O25">
        <v>1932.6305693583611</v>
      </c>
      <c r="P25">
        <v>1895.242985078881</v>
      </c>
      <c r="Q25" s="20">
        <v>1773.8216712206131</v>
      </c>
      <c r="R25" s="20">
        <v>1755.244262695312</v>
      </c>
      <c r="S25">
        <v>1513.1404541015625</v>
      </c>
      <c r="T25">
        <v>1817.2375459890914</v>
      </c>
      <c r="U25">
        <v>1735.8781071630369</v>
      </c>
      <c r="V25">
        <v>1509.4737374516803</v>
      </c>
    </row>
    <row r="26" spans="1:25">
      <c r="A26">
        <v>114.3</v>
      </c>
      <c r="B26">
        <v>3.35</v>
      </c>
      <c r="C26">
        <v>287.33</v>
      </c>
      <c r="D26">
        <v>105.45</v>
      </c>
      <c r="E26">
        <v>6.99912510936133</v>
      </c>
      <c r="F26">
        <v>1375.8</v>
      </c>
      <c r="G26" s="20">
        <v>1285.3601023312201</v>
      </c>
      <c r="H26">
        <v>1747.7358499539</v>
      </c>
      <c r="I26">
        <v>1747.7354965041691</v>
      </c>
      <c r="J26">
        <v>1747.628052185747</v>
      </c>
      <c r="K26">
        <v>1289.0313585858589</v>
      </c>
      <c r="L26">
        <v>1365.955070157607</v>
      </c>
      <c r="M26">
        <v>1367.6650105177971</v>
      </c>
      <c r="N26">
        <v>1247.5633694374419</v>
      </c>
      <c r="O26">
        <v>1280.7718301814371</v>
      </c>
      <c r="P26">
        <v>1270.3935165422031</v>
      </c>
      <c r="Q26" s="20">
        <v>1245.2713192481961</v>
      </c>
      <c r="R26" s="20">
        <v>1371.370971679688</v>
      </c>
      <c r="S26">
        <v>1369.24482421875</v>
      </c>
      <c r="T26">
        <v>1278.3064077915019</v>
      </c>
      <c r="U26">
        <v>1442.0044272799403</v>
      </c>
      <c r="V26">
        <v>1268.233485900231</v>
      </c>
    </row>
    <row r="27" spans="1:25">
      <c r="A27">
        <v>90</v>
      </c>
      <c r="B27">
        <v>1.5</v>
      </c>
      <c r="C27">
        <v>328.95</v>
      </c>
      <c r="D27">
        <v>36.874054918194688</v>
      </c>
      <c r="E27">
        <v>3.333333333333333</v>
      </c>
      <c r="F27">
        <v>390.7</v>
      </c>
      <c r="G27" s="20">
        <v>375.30203979955331</v>
      </c>
      <c r="H27">
        <v>-752.81184796558898</v>
      </c>
      <c r="I27">
        <v>-752.81148792916542</v>
      </c>
      <c r="J27">
        <v>-752.76466513662922</v>
      </c>
      <c r="K27">
        <v>419.37136420393529</v>
      </c>
      <c r="L27">
        <v>399.89210003534879</v>
      </c>
      <c r="M27">
        <v>389.24339294830401</v>
      </c>
      <c r="N27">
        <v>404.62281728935608</v>
      </c>
      <c r="O27">
        <v>415.87768254954932</v>
      </c>
      <c r="P27">
        <v>422.27796900005143</v>
      </c>
      <c r="Q27" s="20">
        <v>425.68866150167429</v>
      </c>
      <c r="R27" s="20">
        <v>382.1556457519531</v>
      </c>
      <c r="S27">
        <v>457.5291687011719</v>
      </c>
      <c r="T27">
        <v>544.59059207804205</v>
      </c>
      <c r="U27">
        <v>441.44803151925936</v>
      </c>
      <c r="V27">
        <v>380.66679533794189</v>
      </c>
      <c r="W27">
        <v>384.88630618237391</v>
      </c>
      <c r="X27">
        <v>412.24782213699052</v>
      </c>
      <c r="Y27">
        <v>342.03916728004918</v>
      </c>
    </row>
    <row r="28" spans="1:25">
      <c r="A28">
        <v>122</v>
      </c>
      <c r="B28">
        <v>4.54</v>
      </c>
      <c r="C28">
        <v>576</v>
      </c>
      <c r="D28">
        <v>77</v>
      </c>
      <c r="E28">
        <v>3</v>
      </c>
      <c r="F28">
        <v>2100</v>
      </c>
      <c r="G28" s="20">
        <v>1855.974380640801</v>
      </c>
      <c r="H28">
        <v>2582.6631782736381</v>
      </c>
      <c r="I28">
        <v>2582.6631915108651</v>
      </c>
      <c r="J28">
        <v>2582.6062248434082</v>
      </c>
      <c r="K28">
        <v>1706.2945654345649</v>
      </c>
      <c r="L28">
        <v>1965.410630753707</v>
      </c>
      <c r="M28">
        <v>1943.8282164327941</v>
      </c>
      <c r="N28">
        <v>2259.2702968246022</v>
      </c>
      <c r="O28">
        <v>2187.830557062458</v>
      </c>
      <c r="P28">
        <v>2268.859839935441</v>
      </c>
      <c r="Q28" s="20">
        <v>1981.083896195737</v>
      </c>
      <c r="R28" s="20">
        <v>2077.9685791015631</v>
      </c>
      <c r="S28">
        <v>2391.25830078125</v>
      </c>
      <c r="T28">
        <v>2298.6958609780077</v>
      </c>
      <c r="U28">
        <v>2237.8899107038624</v>
      </c>
      <c r="V28">
        <v>2056.4275212295893</v>
      </c>
      <c r="W28">
        <v>2175.9526722947107</v>
      </c>
    </row>
    <row r="29" spans="1:25">
      <c r="A29">
        <v>133</v>
      </c>
      <c r="B29">
        <v>5</v>
      </c>
      <c r="C29">
        <v>306</v>
      </c>
      <c r="D29">
        <v>42.960000000000008</v>
      </c>
      <c r="E29">
        <v>3</v>
      </c>
      <c r="F29">
        <v>1454</v>
      </c>
      <c r="G29" s="20">
        <v>1508.178676092175</v>
      </c>
      <c r="H29">
        <v>1584.996305599512</v>
      </c>
      <c r="I29">
        <v>1584.9966095179129</v>
      </c>
      <c r="J29">
        <v>1585.022462152692</v>
      </c>
      <c r="K29">
        <v>1551.4321428571429</v>
      </c>
      <c r="L29">
        <v>1475.8571837456279</v>
      </c>
      <c r="M29">
        <v>1469.191680115571</v>
      </c>
      <c r="N29">
        <v>1526.729370850333</v>
      </c>
      <c r="O29">
        <v>1531.902603369231</v>
      </c>
      <c r="P29">
        <v>1474.1503501246759</v>
      </c>
      <c r="Q29" s="20">
        <v>1425.4996421628391</v>
      </c>
      <c r="R29" s="20">
        <v>1536.436010742188</v>
      </c>
      <c r="S29">
        <v>1506.8295654296876</v>
      </c>
      <c r="T29">
        <v>1549.4657575393644</v>
      </c>
      <c r="U29">
        <v>1507.1673260031789</v>
      </c>
      <c r="V29">
        <v>1326.1260119642407</v>
      </c>
      <c r="W29">
        <v>1404.4088990038215</v>
      </c>
      <c r="X29">
        <v>1390.3022511255131</v>
      </c>
      <c r="Y29">
        <v>1092.986602240615</v>
      </c>
    </row>
    <row r="30" spans="1:25">
      <c r="A30">
        <v>114.3</v>
      </c>
      <c r="B30">
        <v>3.35</v>
      </c>
      <c r="C30">
        <v>287.33</v>
      </c>
      <c r="D30">
        <v>88.78</v>
      </c>
      <c r="E30">
        <v>5</v>
      </c>
      <c r="F30">
        <v>1180.7</v>
      </c>
      <c r="G30" s="20">
        <v>1278.831696002859</v>
      </c>
      <c r="H30">
        <v>1344.4247977134501</v>
      </c>
      <c r="I30">
        <v>1344.4247445189039</v>
      </c>
      <c r="J30">
        <v>1344.3812274821951</v>
      </c>
      <c r="K30">
        <v>1289.0313585858589</v>
      </c>
      <c r="L30">
        <v>1225.202623712988</v>
      </c>
      <c r="M30">
        <v>1235.296616940504</v>
      </c>
      <c r="N30">
        <v>1228.5707035955079</v>
      </c>
      <c r="O30">
        <v>1234.7800640647199</v>
      </c>
      <c r="P30">
        <v>1305.4671652479069</v>
      </c>
      <c r="Q30" s="20">
        <v>1235.5124899344951</v>
      </c>
      <c r="R30" s="20">
        <v>1295.56279296875</v>
      </c>
      <c r="S30">
        <v>1328.4595458984375</v>
      </c>
      <c r="T30">
        <v>1319.2321442503178</v>
      </c>
      <c r="U30">
        <v>1350.8130437589778</v>
      </c>
      <c r="V30">
        <v>1146.9672182929712</v>
      </c>
    </row>
    <row r="31" spans="1:25">
      <c r="A31">
        <v>203</v>
      </c>
      <c r="B31">
        <v>9.6</v>
      </c>
      <c r="C31">
        <v>352</v>
      </c>
      <c r="D31">
        <v>84.2</v>
      </c>
      <c r="E31">
        <v>3.9408866995073888</v>
      </c>
      <c r="F31">
        <v>5988</v>
      </c>
      <c r="G31" s="20">
        <v>5958</v>
      </c>
      <c r="H31">
        <v>5979.0445439293708</v>
      </c>
      <c r="I31">
        <v>5979.0443493960474</v>
      </c>
      <c r="J31">
        <v>5978.962508263101</v>
      </c>
      <c r="K31">
        <v>4378.8676153465294</v>
      </c>
      <c r="L31">
        <v>5514.1627600541633</v>
      </c>
      <c r="M31">
        <v>5958</v>
      </c>
      <c r="N31">
        <v>5780.6074665803708</v>
      </c>
      <c r="O31">
        <v>5958.2924427694188</v>
      </c>
      <c r="P31">
        <v>5940.4209604454254</v>
      </c>
      <c r="Q31" s="20">
        <v>5554.1236163345511</v>
      </c>
      <c r="R31" s="20">
        <v>5961.7085937499996</v>
      </c>
      <c r="S31">
        <v>5958.33935546875</v>
      </c>
      <c r="T31">
        <v>5557.9744651134606</v>
      </c>
      <c r="U31">
        <v>5560.1501317433049</v>
      </c>
      <c r="V31">
        <v>4844.8800448307265</v>
      </c>
    </row>
    <row r="32" spans="1:25">
      <c r="A32">
        <v>179</v>
      </c>
      <c r="B32">
        <v>5.5</v>
      </c>
      <c r="C32">
        <v>248.50051099999999</v>
      </c>
      <c r="D32">
        <v>23.928225999999999</v>
      </c>
      <c r="E32">
        <v>2.011173184357542</v>
      </c>
      <c r="F32">
        <v>1814.2302552981971</v>
      </c>
      <c r="G32" s="20">
        <v>1804.68795758785</v>
      </c>
      <c r="H32">
        <v>2619.2273817661612</v>
      </c>
      <c r="I32">
        <v>2619.2276704830938</v>
      </c>
      <c r="J32">
        <v>2619.2974347244099</v>
      </c>
      <c r="K32">
        <v>1884.815404577628</v>
      </c>
      <c r="L32">
        <v>1839.873130785523</v>
      </c>
      <c r="M32">
        <v>1841.646450372876</v>
      </c>
      <c r="N32">
        <v>1738.4044172463689</v>
      </c>
      <c r="O32">
        <v>1866.727791170905</v>
      </c>
      <c r="P32">
        <v>1827.5904298565929</v>
      </c>
      <c r="Q32" s="20">
        <v>1816.448302029135</v>
      </c>
      <c r="R32" s="20">
        <v>1830.879077148438</v>
      </c>
      <c r="S32">
        <v>2188.1653320312498</v>
      </c>
      <c r="T32">
        <v>2064.5682326259712</v>
      </c>
      <c r="U32">
        <v>1737.2717565672485</v>
      </c>
      <c r="V32">
        <v>1536.8212176518407</v>
      </c>
      <c r="W32">
        <v>1554.1563140599703</v>
      </c>
      <c r="Y32">
        <v>1245.9996169772539</v>
      </c>
    </row>
    <row r="33" spans="1:25">
      <c r="A33">
        <v>140</v>
      </c>
      <c r="B33">
        <v>4.5</v>
      </c>
      <c r="C33">
        <v>462.9</v>
      </c>
      <c r="D33">
        <v>37.83</v>
      </c>
      <c r="E33">
        <v>3</v>
      </c>
      <c r="F33">
        <v>1753.8</v>
      </c>
      <c r="G33" s="20">
        <v>1754.548108108108</v>
      </c>
      <c r="H33">
        <v>2123.397248058352</v>
      </c>
      <c r="I33">
        <v>2123.397383694014</v>
      </c>
      <c r="J33">
        <v>2123.3950323472141</v>
      </c>
      <c r="K33">
        <v>1550.31496947497</v>
      </c>
      <c r="L33">
        <v>1698.508837265792</v>
      </c>
      <c r="M33">
        <v>1752.1925572209</v>
      </c>
      <c r="N33">
        <v>1642.3015830772711</v>
      </c>
      <c r="O33">
        <v>1759.7333019337959</v>
      </c>
      <c r="P33">
        <v>1648.7864778899609</v>
      </c>
      <c r="Q33" s="20">
        <v>1512.1013456257631</v>
      </c>
      <c r="R33" s="20">
        <v>1717.271508789062</v>
      </c>
      <c r="S33">
        <v>1745.7805908203125</v>
      </c>
      <c r="T33">
        <v>1892.5385124963977</v>
      </c>
      <c r="U33">
        <v>1946.3751830889551</v>
      </c>
      <c r="V33">
        <v>1731.7790405134713</v>
      </c>
      <c r="W33">
        <v>1712.4651189899043</v>
      </c>
      <c r="Y33">
        <v>1359.672778633412</v>
      </c>
    </row>
    <row r="34" spans="1:25">
      <c r="A34">
        <v>174</v>
      </c>
      <c r="B34">
        <v>3</v>
      </c>
      <c r="C34">
        <v>265.95634799999999</v>
      </c>
      <c r="D34">
        <v>23.928225999999999</v>
      </c>
      <c r="E34">
        <v>2.068965517241379</v>
      </c>
      <c r="F34">
        <v>1304.2844538089739</v>
      </c>
      <c r="G34" s="20">
        <v>1374.684265609382</v>
      </c>
      <c r="H34">
        <v>1831.6059206277221</v>
      </c>
      <c r="I34">
        <v>1831.606103182296</v>
      </c>
      <c r="J34">
        <v>1831.688516293699</v>
      </c>
      <c r="K34">
        <v>1351.4516393214701</v>
      </c>
      <c r="L34">
        <v>1403.995006706182</v>
      </c>
      <c r="M34">
        <v>1347.9163910515281</v>
      </c>
      <c r="N34">
        <v>1287.1534541230781</v>
      </c>
      <c r="O34">
        <v>1368.5832845487751</v>
      </c>
      <c r="P34">
        <v>1324.005652372831</v>
      </c>
      <c r="Q34" s="20">
        <v>1427.903289546234</v>
      </c>
      <c r="R34" s="20">
        <v>1322.695385742187</v>
      </c>
      <c r="S34">
        <v>1431.0368896484374</v>
      </c>
      <c r="T34">
        <v>1223.0801840767381</v>
      </c>
      <c r="U34">
        <v>1224.7915071031591</v>
      </c>
      <c r="V34">
        <v>1065.7258327426739</v>
      </c>
      <c r="W34">
        <v>1008.5176899460404</v>
      </c>
      <c r="Y34">
        <v>929.82036855534079</v>
      </c>
    </row>
    <row r="35" spans="1:25">
      <c r="A35">
        <v>273</v>
      </c>
      <c r="B35">
        <v>8</v>
      </c>
      <c r="C35">
        <v>307</v>
      </c>
      <c r="D35">
        <v>26.39538963236653</v>
      </c>
      <c r="E35">
        <v>4.0293040293040292</v>
      </c>
      <c r="F35">
        <v>5198</v>
      </c>
      <c r="G35" s="20">
        <v>5222.2580583840854</v>
      </c>
      <c r="H35">
        <v>6683.0921466894624</v>
      </c>
      <c r="I35">
        <v>6683.0917003713093</v>
      </c>
      <c r="J35">
        <v>6683.0664388876557</v>
      </c>
      <c r="K35">
        <v>5224.0711753084352</v>
      </c>
      <c r="L35">
        <v>5275.5865541466655</v>
      </c>
      <c r="M35">
        <v>5274.1287241501868</v>
      </c>
      <c r="N35">
        <v>5016.7904160570843</v>
      </c>
      <c r="O35">
        <v>5140.5144402531714</v>
      </c>
      <c r="P35">
        <v>5138.3904882550196</v>
      </c>
      <c r="Q35" s="20">
        <v>5064.3904752205199</v>
      </c>
      <c r="R35" s="20">
        <v>5217.4544921875004</v>
      </c>
      <c r="S35">
        <v>5269.4188476562504</v>
      </c>
      <c r="T35">
        <v>4843.5449562514041</v>
      </c>
      <c r="U35">
        <v>4681.6267327512569</v>
      </c>
      <c r="V35">
        <v>4149.4555622745911</v>
      </c>
      <c r="W35">
        <v>4065.0367824090144</v>
      </c>
      <c r="Y35">
        <v>3309.3034845282441</v>
      </c>
    </row>
    <row r="36" spans="1:25">
      <c r="A36">
        <v>89.32</v>
      </c>
      <c r="B36">
        <v>2.74</v>
      </c>
      <c r="C36">
        <v>360</v>
      </c>
      <c r="D36">
        <v>32.791465757458397</v>
      </c>
      <c r="E36">
        <v>3.8065382892969102</v>
      </c>
      <c r="F36">
        <v>650</v>
      </c>
      <c r="G36" s="20">
        <v>620.61074097760229</v>
      </c>
      <c r="H36">
        <v>-359.95587130485279</v>
      </c>
      <c r="I36">
        <v>-359.95551651524357</v>
      </c>
      <c r="J36">
        <v>-359.93284206329253</v>
      </c>
      <c r="K36">
        <v>628.70258472310707</v>
      </c>
      <c r="L36">
        <v>614.02112129384602</v>
      </c>
      <c r="M36">
        <v>627.66938634043015</v>
      </c>
      <c r="N36">
        <v>623.67211906703699</v>
      </c>
      <c r="O36">
        <v>615.35535247746191</v>
      </c>
      <c r="P36">
        <v>603.22289798834424</v>
      </c>
      <c r="Q36" s="20">
        <v>618.43286292961523</v>
      </c>
      <c r="R36" s="20">
        <v>624.56352539062505</v>
      </c>
      <c r="S36">
        <v>626.78713378906252</v>
      </c>
      <c r="T36">
        <v>672.73100699534666</v>
      </c>
      <c r="U36">
        <v>615.67697001560214</v>
      </c>
      <c r="V36">
        <v>545.4878884772213</v>
      </c>
      <c r="W36">
        <v>560.02498424591545</v>
      </c>
      <c r="X36">
        <v>542.3561927002628</v>
      </c>
      <c r="Y36">
        <v>435.36971024738273</v>
      </c>
    </row>
    <row r="37" spans="1:25">
      <c r="A37">
        <v>152</v>
      </c>
      <c r="B37">
        <v>1.7</v>
      </c>
      <c r="C37">
        <v>270</v>
      </c>
      <c r="D37">
        <v>73</v>
      </c>
      <c r="E37">
        <v>3.2894736842105261</v>
      </c>
      <c r="F37">
        <v>1548</v>
      </c>
      <c r="G37" s="20">
        <v>1485.3129216824011</v>
      </c>
      <c r="H37">
        <v>1661.250965644922</v>
      </c>
      <c r="I37">
        <v>1661.250890635429</v>
      </c>
      <c r="J37">
        <v>1661.273965549125</v>
      </c>
      <c r="K37">
        <v>1695.0258382006989</v>
      </c>
      <c r="L37">
        <v>1597.1102062365039</v>
      </c>
      <c r="M37">
        <v>1484.391152899381</v>
      </c>
      <c r="N37">
        <v>1752.5991850855819</v>
      </c>
      <c r="O37">
        <v>1586.8138974310459</v>
      </c>
      <c r="P37">
        <v>1622.401177068225</v>
      </c>
      <c r="Q37" s="20">
        <v>1612.469617625188</v>
      </c>
      <c r="R37" s="20">
        <v>1490.395825195312</v>
      </c>
      <c r="S37">
        <v>1774.3104492187499</v>
      </c>
      <c r="T37">
        <v>1734.975826137967</v>
      </c>
      <c r="U37">
        <v>1617.1531779028137</v>
      </c>
      <c r="V37">
        <v>1337.4364695890597</v>
      </c>
    </row>
    <row r="38" spans="1:25">
      <c r="A38">
        <v>90</v>
      </c>
      <c r="B38">
        <v>1.2</v>
      </c>
      <c r="C38">
        <v>328.95</v>
      </c>
      <c r="D38">
        <v>34.707976474137219</v>
      </c>
      <c r="E38">
        <v>3.333333333333333</v>
      </c>
      <c r="F38">
        <v>351.2</v>
      </c>
      <c r="G38" s="20">
        <v>359.3</v>
      </c>
      <c r="H38">
        <v>-870.95326445825799</v>
      </c>
      <c r="I38">
        <v>-870.95291038360995</v>
      </c>
      <c r="J38">
        <v>-870.90226665721059</v>
      </c>
      <c r="K38">
        <v>397.10309953549103</v>
      </c>
      <c r="L38">
        <v>360.02338464540821</v>
      </c>
      <c r="M38">
        <v>359.29946601941822</v>
      </c>
      <c r="N38">
        <v>352.23369320713789</v>
      </c>
      <c r="O38">
        <v>361.94390745440688</v>
      </c>
      <c r="P38">
        <v>358.33623039220021</v>
      </c>
      <c r="Q38" s="20">
        <v>377.11481890673548</v>
      </c>
      <c r="R38" s="20">
        <v>358.47441406249999</v>
      </c>
      <c r="S38">
        <v>380.96901245117186</v>
      </c>
      <c r="T38">
        <v>491.09158426126578</v>
      </c>
      <c r="U38">
        <v>387.58107486429151</v>
      </c>
      <c r="V38">
        <v>332.22559437003372</v>
      </c>
      <c r="W38">
        <v>342.41132441075229</v>
      </c>
      <c r="X38">
        <v>364.47031789837831</v>
      </c>
      <c r="Y38">
        <v>305.68739104851272</v>
      </c>
    </row>
    <row r="39" spans="1:25">
      <c r="A39">
        <v>151</v>
      </c>
      <c r="B39">
        <v>4</v>
      </c>
      <c r="C39">
        <v>438</v>
      </c>
      <c r="D39">
        <v>46.831412032875782</v>
      </c>
      <c r="E39">
        <v>3.311258278145695</v>
      </c>
      <c r="F39">
        <v>2572.3000000000002</v>
      </c>
      <c r="G39" s="20">
        <v>2735.35</v>
      </c>
      <c r="H39">
        <v>2417.3933803420168</v>
      </c>
      <c r="I39">
        <v>2417.3933777777552</v>
      </c>
      <c r="J39">
        <v>2417.3836030480779</v>
      </c>
      <c r="K39">
        <v>2342.9883891692311</v>
      </c>
      <c r="L39">
        <v>2579.0465892217462</v>
      </c>
      <c r="M39">
        <v>2734.1148266456362</v>
      </c>
      <c r="N39">
        <v>2390.9904857036322</v>
      </c>
      <c r="O39">
        <v>2640.1647331416279</v>
      </c>
      <c r="P39">
        <v>2607.85516261461</v>
      </c>
      <c r="Q39" s="20">
        <v>2275.1218578967791</v>
      </c>
      <c r="R39" s="20">
        <v>2736.0620605468748</v>
      </c>
      <c r="S39">
        <v>2373.4970214843752</v>
      </c>
      <c r="T39">
        <v>2059.4592425587907</v>
      </c>
      <c r="U39">
        <v>2062.8802141128945</v>
      </c>
      <c r="V39">
        <v>1810.7601044633384</v>
      </c>
      <c r="W39">
        <v>1901.5556408104012</v>
      </c>
      <c r="X39">
        <v>1854.5880904286851</v>
      </c>
      <c r="Y39">
        <v>1507.3129861983939</v>
      </c>
    </row>
    <row r="40" spans="1:25">
      <c r="A40">
        <v>108</v>
      </c>
      <c r="B40">
        <v>10</v>
      </c>
      <c r="C40">
        <v>366.2</v>
      </c>
      <c r="D40">
        <v>74.960000000000008</v>
      </c>
      <c r="E40">
        <v>3</v>
      </c>
      <c r="F40">
        <v>2177</v>
      </c>
      <c r="G40" s="20">
        <v>2219.8148072527529</v>
      </c>
      <c r="H40">
        <v>2896.122414115217</v>
      </c>
      <c r="I40">
        <v>2896.122932298666</v>
      </c>
      <c r="J40">
        <v>2896.078071304697</v>
      </c>
      <c r="K40">
        <v>2293.6863275613282</v>
      </c>
      <c r="L40">
        <v>2221.423516880342</v>
      </c>
      <c r="M40">
        <v>2228.5516181229768</v>
      </c>
      <c r="N40">
        <v>2191.364376267858</v>
      </c>
      <c r="O40">
        <v>2162.5916308786791</v>
      </c>
      <c r="P40">
        <v>2167.2588703274341</v>
      </c>
      <c r="Q40" s="20">
        <v>2071.2445530570672</v>
      </c>
      <c r="R40" s="20">
        <v>2223.7533203124999</v>
      </c>
      <c r="S40">
        <v>2187.505126953125</v>
      </c>
      <c r="T40">
        <v>2244.8918671383449</v>
      </c>
      <c r="U40">
        <v>2282.3723407086432</v>
      </c>
      <c r="V40">
        <v>2028.7354786552412</v>
      </c>
    </row>
    <row r="41" spans="1:25">
      <c r="A41">
        <v>151</v>
      </c>
      <c r="B41">
        <v>2</v>
      </c>
      <c r="C41">
        <v>405</v>
      </c>
      <c r="D41">
        <v>46.831412032875782</v>
      </c>
      <c r="E41">
        <v>3.311258278145695</v>
      </c>
      <c r="F41">
        <v>2132.4</v>
      </c>
      <c r="G41" s="20">
        <v>1990.8537106407141</v>
      </c>
      <c r="H41">
        <v>1751.136644116089</v>
      </c>
      <c r="I41">
        <v>1751.1365753451601</v>
      </c>
      <c r="J41">
        <v>1751.148050413638</v>
      </c>
      <c r="K41">
        <v>2119.5893441572648</v>
      </c>
      <c r="L41">
        <v>1968.6815531124209</v>
      </c>
      <c r="M41">
        <v>1935.9392387856519</v>
      </c>
      <c r="N41">
        <v>1761.0968414583781</v>
      </c>
      <c r="O41">
        <v>1877.7007652840671</v>
      </c>
      <c r="P41">
        <v>1848.3020517515099</v>
      </c>
      <c r="Q41" s="20">
        <v>1983.061742619059</v>
      </c>
      <c r="R41" s="20">
        <v>1860.29912109375</v>
      </c>
      <c r="S41">
        <v>1965.6467529296874</v>
      </c>
      <c r="T41">
        <v>1515.9440324565917</v>
      </c>
      <c r="U41">
        <v>1409.0445038695213</v>
      </c>
      <c r="V41">
        <v>1203.5439770992975</v>
      </c>
      <c r="W41">
        <v>1208.2928503888149</v>
      </c>
      <c r="Y41">
        <v>1119.199704368883</v>
      </c>
    </row>
    <row r="42" spans="1:25">
      <c r="A42">
        <v>114.2</v>
      </c>
      <c r="B42">
        <v>3.9</v>
      </c>
      <c r="C42">
        <v>364</v>
      </c>
      <c r="D42">
        <v>37.3623262668659</v>
      </c>
      <c r="E42">
        <v>3.9929947460595452</v>
      </c>
      <c r="F42">
        <v>1231</v>
      </c>
      <c r="G42" s="20">
        <v>1410.8449241564899</v>
      </c>
      <c r="H42">
        <v>854.69467803830435</v>
      </c>
      <c r="I42">
        <v>854.6948977300317</v>
      </c>
      <c r="J42">
        <v>854.69716999995978</v>
      </c>
      <c r="K42">
        <v>1146.747189974036</v>
      </c>
      <c r="L42">
        <v>1148.2675246033909</v>
      </c>
      <c r="M42">
        <v>1134.563922568115</v>
      </c>
      <c r="N42">
        <v>1152.3734385997191</v>
      </c>
      <c r="O42">
        <v>1212.852994880335</v>
      </c>
      <c r="P42">
        <v>1154.6031522074129</v>
      </c>
      <c r="Q42" s="20">
        <v>1050.547303362667</v>
      </c>
      <c r="R42" s="20">
        <v>1164.629663085937</v>
      </c>
      <c r="S42">
        <v>1095.440380859375</v>
      </c>
      <c r="T42">
        <v>1163.673170394017</v>
      </c>
      <c r="U42">
        <v>1129.1103779479051</v>
      </c>
      <c r="V42">
        <v>999.95689844338642</v>
      </c>
      <c r="W42">
        <v>1030.2119886202779</v>
      </c>
      <c r="X42">
        <v>979.06166189640203</v>
      </c>
      <c r="Y42">
        <v>797.3882761712897</v>
      </c>
    </row>
    <row r="43" spans="1:25">
      <c r="A43">
        <v>190</v>
      </c>
      <c r="B43">
        <v>1.1299999999999999</v>
      </c>
      <c r="C43">
        <v>185.7</v>
      </c>
      <c r="D43">
        <v>80.2</v>
      </c>
      <c r="E43">
        <v>3.486842105263158</v>
      </c>
      <c r="F43">
        <v>2295</v>
      </c>
      <c r="G43" s="20">
        <v>2670.733331693616</v>
      </c>
      <c r="H43">
        <v>2556.978340114702</v>
      </c>
      <c r="I43">
        <v>2556.978031417967</v>
      </c>
      <c r="J43">
        <v>2557.008386256241</v>
      </c>
      <c r="K43">
        <v>2576.24116938617</v>
      </c>
      <c r="L43">
        <v>2533.9490627503019</v>
      </c>
      <c r="M43">
        <v>2509.301877022654</v>
      </c>
      <c r="N43">
        <v>2557.3858923588732</v>
      </c>
      <c r="O43">
        <v>2620.0802416134302</v>
      </c>
      <c r="P43">
        <v>2674.4545978242431</v>
      </c>
      <c r="Q43" s="20">
        <v>2578.0608772788628</v>
      </c>
      <c r="R43" s="20">
        <v>2551.386474609375</v>
      </c>
      <c r="S43">
        <v>2424.767578125</v>
      </c>
      <c r="T43">
        <v>2422.4525463594464</v>
      </c>
      <c r="U43">
        <v>2421.833017779064</v>
      </c>
      <c r="V43">
        <v>1962.7159721566377</v>
      </c>
    </row>
    <row r="44" spans="1:25">
      <c r="A44">
        <v>100</v>
      </c>
      <c r="B44">
        <v>2.5</v>
      </c>
      <c r="C44">
        <v>244</v>
      </c>
      <c r="D44">
        <v>36.19</v>
      </c>
      <c r="E44">
        <v>3</v>
      </c>
      <c r="F44">
        <v>670</v>
      </c>
      <c r="G44" s="20">
        <v>619.0243908220948</v>
      </c>
      <c r="H44">
        <v>-481.05453655887379</v>
      </c>
      <c r="I44">
        <v>-481.05408047975197</v>
      </c>
      <c r="J44">
        <v>-480.98755250439882</v>
      </c>
      <c r="K44">
        <v>637.65299567099578</v>
      </c>
      <c r="L44">
        <v>653.40042687328992</v>
      </c>
      <c r="M44">
        <v>660.5075445751479</v>
      </c>
      <c r="N44">
        <v>622.83177420810921</v>
      </c>
      <c r="O44">
        <v>629.52346728518046</v>
      </c>
      <c r="P44">
        <v>596.71067041755191</v>
      </c>
      <c r="Q44" s="20">
        <v>631.02318161866367</v>
      </c>
      <c r="R44" s="20">
        <v>648.29167480468755</v>
      </c>
      <c r="S44">
        <v>649.00334472656255</v>
      </c>
      <c r="T44">
        <v>698.7955741388281</v>
      </c>
      <c r="U44">
        <v>559.21350616556651</v>
      </c>
      <c r="V44">
        <v>484.48894133151708</v>
      </c>
      <c r="W44">
        <v>548.34840617105795</v>
      </c>
      <c r="X44">
        <v>531.52249385137657</v>
      </c>
      <c r="Y44">
        <v>427.89160889909749</v>
      </c>
    </row>
    <row r="45" spans="1:25">
      <c r="A45">
        <v>60</v>
      </c>
      <c r="B45">
        <v>2</v>
      </c>
      <c r="C45">
        <v>404</v>
      </c>
      <c r="D45">
        <v>68.160000000000011</v>
      </c>
      <c r="E45">
        <v>3</v>
      </c>
      <c r="F45">
        <v>427</v>
      </c>
      <c r="G45" s="20">
        <v>457.62199102752771</v>
      </c>
      <c r="H45">
        <v>-829.17983550415136</v>
      </c>
      <c r="I45">
        <v>-829.17940780596075</v>
      </c>
      <c r="J45">
        <v>-829.16569939017279</v>
      </c>
      <c r="K45">
        <v>262.95792857142862</v>
      </c>
      <c r="L45">
        <v>412.31643380728229</v>
      </c>
      <c r="M45">
        <v>415.95275080906151</v>
      </c>
      <c r="N45">
        <v>387.802986240633</v>
      </c>
      <c r="O45">
        <v>411.41283498668378</v>
      </c>
      <c r="P45">
        <v>418.55749965128751</v>
      </c>
      <c r="Q45" s="20">
        <v>419.39999999999981</v>
      </c>
      <c r="R45" s="20">
        <v>420.4498229980469</v>
      </c>
      <c r="S45">
        <v>353.46896362304688</v>
      </c>
      <c r="T45">
        <v>490.37243230284037</v>
      </c>
      <c r="U45">
        <v>406.38737788153333</v>
      </c>
      <c r="V45">
        <v>354.07102906701175</v>
      </c>
      <c r="W45">
        <v>393.99206001696103</v>
      </c>
      <c r="Y45">
        <v>303.93666670082149</v>
      </c>
    </row>
    <row r="46" spans="1:25">
      <c r="A46">
        <v>101.7</v>
      </c>
      <c r="B46">
        <v>2.4</v>
      </c>
      <c r="C46">
        <v>380</v>
      </c>
      <c r="D46">
        <v>57</v>
      </c>
      <c r="E46">
        <v>3.5004916420845622</v>
      </c>
      <c r="F46">
        <v>775</v>
      </c>
      <c r="G46" s="20">
        <v>734.00000000000011</v>
      </c>
      <c r="H46">
        <v>381.54263617849358</v>
      </c>
      <c r="I46">
        <v>381.54283596205619</v>
      </c>
      <c r="J46">
        <v>381.55024250725398</v>
      </c>
      <c r="K46">
        <v>811.19597069597057</v>
      </c>
      <c r="L46">
        <v>746.44077417105984</v>
      </c>
      <c r="M46">
        <v>734.00630344064007</v>
      </c>
      <c r="N46">
        <v>729.64699958713595</v>
      </c>
      <c r="O46">
        <v>738.76013162298545</v>
      </c>
      <c r="P46">
        <v>774.28190966870818</v>
      </c>
      <c r="Q46" s="20">
        <v>769.22134076287216</v>
      </c>
      <c r="R46" s="20">
        <v>733.0293090820312</v>
      </c>
      <c r="S46">
        <v>883.81108398437505</v>
      </c>
      <c r="T46">
        <v>958.74882380225131</v>
      </c>
      <c r="U46">
        <v>881.2536043509308</v>
      </c>
      <c r="V46">
        <v>761.61272899635583</v>
      </c>
      <c r="W46">
        <v>865.92753279700639</v>
      </c>
      <c r="X46">
        <v>801.20846410600382</v>
      </c>
      <c r="Y46">
        <v>675.40943600121273</v>
      </c>
    </row>
    <row r="47" spans="1:25">
      <c r="A47">
        <v>178</v>
      </c>
      <c r="B47">
        <v>9</v>
      </c>
      <c r="C47">
        <v>283.31411850000001</v>
      </c>
      <c r="D47">
        <v>45.4047895</v>
      </c>
      <c r="E47">
        <v>2.02247191011236</v>
      </c>
      <c r="F47">
        <v>3177.3546092790039</v>
      </c>
      <c r="G47" s="20">
        <v>3152.4352989943409</v>
      </c>
      <c r="H47">
        <v>4023.9437558050458</v>
      </c>
      <c r="I47">
        <v>4023.9441051213289</v>
      </c>
      <c r="J47">
        <v>4023.9644195347819</v>
      </c>
      <c r="K47">
        <v>2894.6001748403019</v>
      </c>
      <c r="L47">
        <v>3097.416417974222</v>
      </c>
      <c r="M47">
        <v>3160.4092290079329</v>
      </c>
      <c r="N47">
        <v>2959.1446962045211</v>
      </c>
      <c r="O47">
        <v>3075.57459266664</v>
      </c>
      <c r="P47">
        <v>3241.423414205698</v>
      </c>
      <c r="Q47" s="20">
        <v>2929.1589894618041</v>
      </c>
      <c r="R47" s="20">
        <v>3162.549072265625</v>
      </c>
      <c r="S47">
        <v>3304.2091308593749</v>
      </c>
      <c r="T47">
        <v>3429.992031989686</v>
      </c>
      <c r="U47">
        <v>3106.0370726139163</v>
      </c>
      <c r="V47">
        <v>2745.287026507096</v>
      </c>
      <c r="W47">
        <v>2789.6422915430112</v>
      </c>
      <c r="X47">
        <v>2978.7578489997891</v>
      </c>
      <c r="Y47">
        <v>2214.8086141377448</v>
      </c>
    </row>
    <row r="48" spans="1:25">
      <c r="A48">
        <v>190</v>
      </c>
      <c r="B48">
        <v>0.86</v>
      </c>
      <c r="C48">
        <v>210.7</v>
      </c>
      <c r="D48">
        <v>41</v>
      </c>
      <c r="E48">
        <v>3.4684210526315788</v>
      </c>
      <c r="F48">
        <v>1349.9</v>
      </c>
      <c r="G48" s="20">
        <v>1748.475366667624</v>
      </c>
      <c r="H48">
        <v>1930.7111205831759</v>
      </c>
      <c r="I48">
        <v>1930.710923993659</v>
      </c>
      <c r="J48">
        <v>1930.7694617914781</v>
      </c>
      <c r="K48">
        <v>1942.180457373242</v>
      </c>
      <c r="L48">
        <v>1795.4317833376051</v>
      </c>
      <c r="M48">
        <v>1666.344265713924</v>
      </c>
      <c r="N48">
        <v>1453.890082998686</v>
      </c>
      <c r="O48">
        <v>1495.738293815406</v>
      </c>
      <c r="P48">
        <v>1470.7941786336089</v>
      </c>
      <c r="Q48" s="20">
        <v>1678.394866263639</v>
      </c>
      <c r="R48" s="20">
        <v>1445.525439453125</v>
      </c>
      <c r="S48">
        <v>1419.3536865234375</v>
      </c>
      <c r="T48">
        <v>1524.3014932555138</v>
      </c>
      <c r="U48">
        <v>1315.942315193259</v>
      </c>
      <c r="V48">
        <v>1074.6199808935646</v>
      </c>
      <c r="Y48">
        <v>892.11245105528315</v>
      </c>
    </row>
    <row r="49" spans="1:25">
      <c r="A49">
        <v>108</v>
      </c>
      <c r="B49">
        <v>5.5</v>
      </c>
      <c r="C49">
        <v>383.1</v>
      </c>
      <c r="D49">
        <v>81.040000000000006</v>
      </c>
      <c r="E49">
        <v>3</v>
      </c>
      <c r="F49">
        <v>1849</v>
      </c>
      <c r="G49" s="20">
        <v>1856.4023570858781</v>
      </c>
      <c r="H49">
        <v>1807.4670874039271</v>
      </c>
      <c r="I49">
        <v>1807.4673633651109</v>
      </c>
      <c r="J49">
        <v>1807.445153149798</v>
      </c>
      <c r="K49">
        <v>1898.906499278499</v>
      </c>
      <c r="L49">
        <v>1844.3080293986679</v>
      </c>
      <c r="M49">
        <v>1839.0721558791799</v>
      </c>
      <c r="N49">
        <v>1884.5872475738311</v>
      </c>
      <c r="O49">
        <v>1855.0934718894789</v>
      </c>
      <c r="P49">
        <v>1839.597299856051</v>
      </c>
      <c r="Q49" s="20">
        <v>1860.725363000465</v>
      </c>
      <c r="R49" s="20">
        <v>1815.2673828125</v>
      </c>
      <c r="S49">
        <v>1882.5884765625001</v>
      </c>
      <c r="T49">
        <v>1785.8714708112857</v>
      </c>
      <c r="U49">
        <v>1698.0370888886457</v>
      </c>
      <c r="V49">
        <v>1488.9029831663415</v>
      </c>
    </row>
    <row r="50" spans="1:25">
      <c r="A50">
        <v>216.4</v>
      </c>
      <c r="B50">
        <v>6.61</v>
      </c>
      <c r="C50">
        <v>452</v>
      </c>
      <c r="D50">
        <v>46.7</v>
      </c>
      <c r="E50">
        <v>3.0036968576709802</v>
      </c>
      <c r="F50">
        <v>4283</v>
      </c>
      <c r="G50" s="20">
        <v>4134.0665220055826</v>
      </c>
      <c r="H50">
        <v>5250.5897616628081</v>
      </c>
      <c r="I50">
        <v>5250.5895207413387</v>
      </c>
      <c r="J50">
        <v>5250.5583040944539</v>
      </c>
      <c r="K50">
        <v>4168.6790439179567</v>
      </c>
      <c r="L50">
        <v>4009.5012642473748</v>
      </c>
      <c r="M50">
        <v>4213.538308595369</v>
      </c>
      <c r="N50">
        <v>4610.8915358397526</v>
      </c>
      <c r="O50">
        <v>4388.3405814519629</v>
      </c>
      <c r="P50">
        <v>4518.3883883505287</v>
      </c>
      <c r="Q50" s="20">
        <v>4009.7643539537762</v>
      </c>
      <c r="R50" s="20">
        <v>4382.1078125000004</v>
      </c>
      <c r="S50">
        <v>3992.2486816406249</v>
      </c>
      <c r="T50">
        <v>4342.4947164142823</v>
      </c>
      <c r="U50">
        <v>4704.1409925339913</v>
      </c>
      <c r="V50">
        <v>4151.9618012496803</v>
      </c>
      <c r="W50">
        <v>4213.5804098463805</v>
      </c>
      <c r="X50">
        <v>4258.8507289056843</v>
      </c>
      <c r="Y50">
        <v>3377.8199327278958</v>
      </c>
    </row>
    <row r="51" spans="1:25">
      <c r="A51">
        <v>114.3</v>
      </c>
      <c r="B51">
        <v>6</v>
      </c>
      <c r="C51">
        <v>342.95</v>
      </c>
      <c r="D51">
        <v>22.5</v>
      </c>
      <c r="E51">
        <v>6.99912510936133</v>
      </c>
      <c r="F51">
        <v>925.9</v>
      </c>
      <c r="G51" s="20">
        <v>1057.471045034757</v>
      </c>
      <c r="H51">
        <v>1325.6998870248781</v>
      </c>
      <c r="I51">
        <v>1325.6999121863751</v>
      </c>
      <c r="J51">
        <v>1325.628119275528</v>
      </c>
      <c r="K51">
        <v>1372.599861498941</v>
      </c>
      <c r="L51">
        <v>1056.9620817789189</v>
      </c>
      <c r="M51">
        <v>1023.213254830325</v>
      </c>
      <c r="N51">
        <v>979.33824975078278</v>
      </c>
      <c r="O51">
        <v>972.22870347674302</v>
      </c>
      <c r="P51">
        <v>996.27120589453318</v>
      </c>
      <c r="Q51" s="20">
        <v>1234.1509911615381</v>
      </c>
      <c r="R51" s="20">
        <v>981.58719482421873</v>
      </c>
      <c r="S51">
        <v>1108.43798828125</v>
      </c>
      <c r="T51">
        <v>1113.9871855920803</v>
      </c>
      <c r="U51">
        <v>1319.0997473687069</v>
      </c>
      <c r="V51">
        <v>1189.6170101474424</v>
      </c>
      <c r="W51">
        <v>1081.1312772693984</v>
      </c>
      <c r="Y51">
        <v>846.88725709765004</v>
      </c>
    </row>
    <row r="52" spans="1:25">
      <c r="A52">
        <v>114.9</v>
      </c>
      <c r="B52">
        <v>4.01</v>
      </c>
      <c r="C52">
        <v>304.3</v>
      </c>
      <c r="D52">
        <v>113.2</v>
      </c>
      <c r="E52">
        <v>2.976501305483028</v>
      </c>
      <c r="F52">
        <v>1631</v>
      </c>
      <c r="G52" s="20">
        <v>1624.223767241104</v>
      </c>
      <c r="H52">
        <v>1865.8041179412839</v>
      </c>
      <c r="I52">
        <v>1865.8042327918249</v>
      </c>
      <c r="J52">
        <v>1865.783900566438</v>
      </c>
      <c r="K52">
        <v>1657.9743047619049</v>
      </c>
      <c r="L52">
        <v>1626.702255898964</v>
      </c>
      <c r="M52">
        <v>1619.851169902912</v>
      </c>
      <c r="N52">
        <v>1717.0134398337241</v>
      </c>
      <c r="O52">
        <v>1707.027586222262</v>
      </c>
      <c r="P52">
        <v>1737.5917229587351</v>
      </c>
      <c r="Q52" s="20">
        <v>1480.111869146383</v>
      </c>
      <c r="R52" s="20">
        <v>1695.479077148437</v>
      </c>
      <c r="S52">
        <v>1538.7114013671876</v>
      </c>
      <c r="T52">
        <v>1735.3854016312457</v>
      </c>
      <c r="U52">
        <v>1627.7556577354742</v>
      </c>
      <c r="V52">
        <v>1446.8797067303417</v>
      </c>
    </row>
    <row r="53" spans="1:25">
      <c r="A53">
        <v>131</v>
      </c>
      <c r="B53">
        <v>4</v>
      </c>
      <c r="C53">
        <v>306</v>
      </c>
      <c r="D53">
        <v>59.68</v>
      </c>
      <c r="E53">
        <v>3</v>
      </c>
      <c r="F53">
        <v>1496</v>
      </c>
      <c r="G53" s="20">
        <v>1503.407677102309</v>
      </c>
      <c r="H53">
        <v>1515.7379621787741</v>
      </c>
      <c r="I53">
        <v>1515.7381713572711</v>
      </c>
      <c r="J53">
        <v>1515.7578274221989</v>
      </c>
      <c r="K53">
        <v>1445.5040043290039</v>
      </c>
      <c r="L53">
        <v>1513.490742884155</v>
      </c>
      <c r="M53">
        <v>1516.205422519228</v>
      </c>
      <c r="N53">
        <v>1469.329359575582</v>
      </c>
      <c r="O53">
        <v>1526.737590130745</v>
      </c>
      <c r="P53">
        <v>1505.0621085325399</v>
      </c>
      <c r="Q53" s="20">
        <v>1434.1651629775749</v>
      </c>
      <c r="R53" s="20">
        <v>1493.203295898438</v>
      </c>
      <c r="S53">
        <v>1561.820751953125</v>
      </c>
      <c r="T53">
        <v>1568.3960945711831</v>
      </c>
      <c r="U53">
        <v>1500.2689540225733</v>
      </c>
      <c r="V53">
        <v>1296.6033221460557</v>
      </c>
      <c r="W53">
        <v>1450.9715435317657</v>
      </c>
      <c r="Y53">
        <v>1152.9748550868021</v>
      </c>
    </row>
    <row r="54" spans="1:25">
      <c r="A54">
        <v>127</v>
      </c>
      <c r="B54">
        <v>2.41</v>
      </c>
      <c r="C54">
        <v>294</v>
      </c>
      <c r="D54">
        <v>35.6</v>
      </c>
      <c r="E54">
        <v>7.1968503937007871</v>
      </c>
      <c r="F54">
        <v>627</v>
      </c>
      <c r="G54" s="20">
        <v>640.5</v>
      </c>
      <c r="H54">
        <v>795.61739840828284</v>
      </c>
      <c r="I54">
        <v>795.6171508141241</v>
      </c>
      <c r="J54">
        <v>795.56414844065716</v>
      </c>
      <c r="K54">
        <v>847.19617460317454</v>
      </c>
      <c r="L54">
        <v>713.3800957512093</v>
      </c>
      <c r="M54">
        <v>640.9543662351673</v>
      </c>
      <c r="N54">
        <v>720.84924222187499</v>
      </c>
      <c r="O54">
        <v>653.68690648288441</v>
      </c>
      <c r="P54">
        <v>668.07823140373864</v>
      </c>
      <c r="Q54" s="20">
        <v>743.32417789141255</v>
      </c>
      <c r="R54" s="20">
        <v>641.10501708984373</v>
      </c>
      <c r="S54">
        <v>769.91984863281255</v>
      </c>
      <c r="T54">
        <v>759.18655020284621</v>
      </c>
      <c r="U54">
        <v>866.66335563550513</v>
      </c>
      <c r="V54">
        <v>748.79933592591192</v>
      </c>
      <c r="W54">
        <v>737.23317459230941</v>
      </c>
      <c r="X54">
        <v>696.82887389245604</v>
      </c>
      <c r="Y54">
        <v>646.34059570249326</v>
      </c>
    </row>
    <row r="55" spans="1:25">
      <c r="A55">
        <v>47.28</v>
      </c>
      <c r="B55">
        <v>1.87</v>
      </c>
      <c r="C55">
        <v>360</v>
      </c>
      <c r="D55">
        <v>29.66351867545038</v>
      </c>
      <c r="E55">
        <v>7.1912013536379016</v>
      </c>
      <c r="F55">
        <v>194</v>
      </c>
      <c r="G55" s="20">
        <v>206.6574511621516</v>
      </c>
      <c r="H55">
        <v>-1767.12235030839</v>
      </c>
      <c r="I55">
        <v>-1767.122183039944</v>
      </c>
      <c r="J55">
        <v>-1767.1713914084789</v>
      </c>
      <c r="K55">
        <v>189.36983216783219</v>
      </c>
      <c r="L55">
        <v>194.65294756410259</v>
      </c>
      <c r="M55">
        <v>181.2750809061489</v>
      </c>
      <c r="N55">
        <v>195.33106551851731</v>
      </c>
      <c r="O55">
        <v>192.15772711350289</v>
      </c>
      <c r="P55">
        <v>189.20652273554799</v>
      </c>
      <c r="Q55" s="20">
        <v>188.86628360711981</v>
      </c>
      <c r="R55" s="20">
        <v>184.21492309570311</v>
      </c>
      <c r="S55">
        <v>229.04558105468749</v>
      </c>
      <c r="T55">
        <v>152.68698380413662</v>
      </c>
      <c r="U55">
        <v>199.74854577199173</v>
      </c>
      <c r="V55">
        <v>178.54545742561717</v>
      </c>
      <c r="W55">
        <v>174.60103276092232</v>
      </c>
      <c r="X55">
        <v>143.90762863248659</v>
      </c>
      <c r="Y55">
        <v>132.86143073566211</v>
      </c>
    </row>
    <row r="56" spans="1:25">
      <c r="A56">
        <v>114.3</v>
      </c>
      <c r="B56">
        <v>6</v>
      </c>
      <c r="C56">
        <v>342.95</v>
      </c>
      <c r="D56">
        <v>88.78</v>
      </c>
      <c r="E56">
        <v>3.00087489063867</v>
      </c>
      <c r="F56">
        <v>1496</v>
      </c>
      <c r="G56" s="20">
        <v>1675.7517728939761</v>
      </c>
      <c r="H56">
        <v>2134.9943595647342</v>
      </c>
      <c r="I56">
        <v>2134.9946247238381</v>
      </c>
      <c r="J56">
        <v>2134.97087597776</v>
      </c>
      <c r="K56">
        <v>1531.755587301587</v>
      </c>
      <c r="L56">
        <v>1455.37888132848</v>
      </c>
      <c r="M56">
        <v>1470.2568708702299</v>
      </c>
      <c r="N56">
        <v>1617.590063939002</v>
      </c>
      <c r="O56">
        <v>1612.3147104619291</v>
      </c>
      <c r="P56">
        <v>1654.924757371097</v>
      </c>
      <c r="Q56" s="20">
        <v>1578.047182118001</v>
      </c>
      <c r="R56" s="20">
        <v>1575.770458984375</v>
      </c>
      <c r="S56">
        <v>1820.114794921875</v>
      </c>
      <c r="T56">
        <v>1936.2244837439914</v>
      </c>
      <c r="U56">
        <v>1863.8828748392561</v>
      </c>
      <c r="V56">
        <v>1625.4435121238819</v>
      </c>
    </row>
    <row r="57" spans="1:25">
      <c r="A57">
        <v>114.43</v>
      </c>
      <c r="B57">
        <v>3.82</v>
      </c>
      <c r="C57">
        <v>343</v>
      </c>
      <c r="D57">
        <v>27.760000000000009</v>
      </c>
      <c r="E57">
        <v>2.6216901162282622</v>
      </c>
      <c r="F57">
        <v>929</v>
      </c>
      <c r="G57" s="20">
        <v>974.39226765974558</v>
      </c>
      <c r="H57">
        <v>521.13197709677172</v>
      </c>
      <c r="I57">
        <v>521.1324075002924</v>
      </c>
      <c r="J57">
        <v>521.18226519196082</v>
      </c>
      <c r="K57">
        <v>979.30105043600065</v>
      </c>
      <c r="L57">
        <v>1011.062541817521</v>
      </c>
      <c r="M57">
        <v>986.06944234612092</v>
      </c>
      <c r="N57">
        <v>942.11296700433536</v>
      </c>
      <c r="O57">
        <v>967.56375928629473</v>
      </c>
      <c r="P57">
        <v>955.12881816833521</v>
      </c>
      <c r="Q57" s="20">
        <v>982.33833755995533</v>
      </c>
      <c r="R57" s="20">
        <v>978.1295166015625</v>
      </c>
      <c r="S57">
        <v>972.32966308593745</v>
      </c>
      <c r="T57">
        <v>1067.015087119288</v>
      </c>
      <c r="U57">
        <v>986.23268397243487</v>
      </c>
      <c r="V57">
        <v>878.54362517991763</v>
      </c>
      <c r="W57">
        <v>870.42216821855629</v>
      </c>
      <c r="Y57">
        <v>688.13325516384748</v>
      </c>
    </row>
    <row r="58" spans="1:25">
      <c r="A58">
        <v>120</v>
      </c>
      <c r="B58">
        <v>1.51</v>
      </c>
      <c r="C58">
        <v>222.7</v>
      </c>
      <c r="D58">
        <v>14.624000000000001</v>
      </c>
      <c r="E58">
        <v>3.0750000000000002</v>
      </c>
      <c r="F58">
        <v>500</v>
      </c>
      <c r="G58" s="20">
        <v>704.95156576897455</v>
      </c>
      <c r="H58">
        <v>-534.82781553412929</v>
      </c>
      <c r="I58">
        <v>-534.82743699852722</v>
      </c>
      <c r="J58">
        <v>-534.73637171714188</v>
      </c>
      <c r="K58">
        <v>475.47935557753527</v>
      </c>
      <c r="L58">
        <v>555.63216127482804</v>
      </c>
      <c r="M58">
        <v>554.91358373817479</v>
      </c>
      <c r="N58">
        <v>453.50397426036909</v>
      </c>
      <c r="O58">
        <v>490.36296472045223</v>
      </c>
      <c r="P58">
        <v>502.78425582498852</v>
      </c>
      <c r="Q58" s="20">
        <v>626.36847539222504</v>
      </c>
      <c r="R58" s="20">
        <v>525.15251464843755</v>
      </c>
      <c r="S58">
        <v>546.65522460937495</v>
      </c>
      <c r="T58">
        <v>515.1435306491237</v>
      </c>
      <c r="U58">
        <v>359.96218891813578</v>
      </c>
      <c r="V58">
        <v>313.18047269937614</v>
      </c>
      <c r="W58">
        <v>304.11834992003423</v>
      </c>
    </row>
    <row r="59" spans="1:25">
      <c r="A59">
        <v>153.9</v>
      </c>
      <c r="B59">
        <v>1.8</v>
      </c>
      <c r="C59">
        <v>356.1</v>
      </c>
      <c r="D59">
        <v>18.399999999999999</v>
      </c>
      <c r="E59">
        <v>3.0539311241065632</v>
      </c>
      <c r="F59">
        <v>981</v>
      </c>
      <c r="G59" s="20">
        <v>1259.146593350144</v>
      </c>
      <c r="H59">
        <v>1142.7236577554261</v>
      </c>
      <c r="I59">
        <v>1142.7237347181081</v>
      </c>
      <c r="J59">
        <v>1142.776415199668</v>
      </c>
      <c r="K59">
        <v>1106.8190354354981</v>
      </c>
      <c r="L59">
        <v>1060.4392970524709</v>
      </c>
      <c r="M59">
        <v>1008.600613363843</v>
      </c>
      <c r="N59">
        <v>1098.1131273954111</v>
      </c>
      <c r="O59">
        <v>1084.5134072293929</v>
      </c>
      <c r="P59">
        <v>1065.0125961883</v>
      </c>
      <c r="Q59" s="20">
        <v>979.91944888688579</v>
      </c>
      <c r="R59" s="20">
        <v>1089.956298828125</v>
      </c>
      <c r="S59">
        <v>963.29953613281248</v>
      </c>
      <c r="T59">
        <v>975.65899196131886</v>
      </c>
      <c r="U59">
        <v>822.63598878234984</v>
      </c>
      <c r="V59">
        <v>719.85180261430207</v>
      </c>
      <c r="W59">
        <v>675.78645444131269</v>
      </c>
    </row>
    <row r="60" spans="1:25">
      <c r="A60">
        <v>133.1</v>
      </c>
      <c r="B60">
        <v>4.5</v>
      </c>
      <c r="C60">
        <v>324.3</v>
      </c>
      <c r="D60">
        <v>60.75</v>
      </c>
      <c r="E60">
        <v>2.9827197595792638</v>
      </c>
      <c r="F60">
        <v>1535</v>
      </c>
      <c r="G60" s="20">
        <v>1653.6856752207029</v>
      </c>
      <c r="H60">
        <v>1799.8610409958751</v>
      </c>
      <c r="I60">
        <v>1799.8612447133139</v>
      </c>
      <c r="J60">
        <v>1799.872672058824</v>
      </c>
      <c r="K60">
        <v>1565.679696969697</v>
      </c>
      <c r="L60">
        <v>1666.71200322358</v>
      </c>
      <c r="M60">
        <v>1677.727938700458</v>
      </c>
      <c r="N60">
        <v>1592.0127401109789</v>
      </c>
      <c r="O60">
        <v>1678.2583414520809</v>
      </c>
      <c r="P60">
        <v>1651.5523819938239</v>
      </c>
      <c r="Q60" s="20">
        <v>1575.296403962584</v>
      </c>
      <c r="R60" s="20">
        <v>1650.776586914063</v>
      </c>
      <c r="S60">
        <v>1744.15107421875</v>
      </c>
      <c r="T60">
        <v>1745.5611797965425</v>
      </c>
      <c r="U60">
        <v>1689.9541277973437</v>
      </c>
      <c r="V60">
        <v>1467.8744455222877</v>
      </c>
      <c r="W60">
        <v>1617.8246561250908</v>
      </c>
      <c r="Y60">
        <v>1277.736866523587</v>
      </c>
    </row>
    <row r="61" spans="1:25">
      <c r="A61">
        <v>89.32</v>
      </c>
      <c r="B61">
        <v>2.74</v>
      </c>
      <c r="C61">
        <v>360</v>
      </c>
      <c r="D61">
        <v>33.339073367926837</v>
      </c>
      <c r="E61">
        <v>3.8065382892969102</v>
      </c>
      <c r="F61">
        <v>605</v>
      </c>
      <c r="G61" s="20">
        <v>612.43787628304858</v>
      </c>
      <c r="H61">
        <v>-351.07323513281227</v>
      </c>
      <c r="I61">
        <v>-351.07288232492891</v>
      </c>
      <c r="J61">
        <v>-351.05064658791167</v>
      </c>
      <c r="K61">
        <v>661.81879581984049</v>
      </c>
      <c r="L61">
        <v>611.12123232702322</v>
      </c>
      <c r="M61">
        <v>626.71617817879326</v>
      </c>
      <c r="N61">
        <v>574.04482906247677</v>
      </c>
      <c r="O61">
        <v>583.34953729412803</v>
      </c>
      <c r="P61">
        <v>583.42390288094953</v>
      </c>
      <c r="Q61" s="20">
        <v>618.88199027379437</v>
      </c>
      <c r="R61" s="20">
        <v>579.19523925781255</v>
      </c>
      <c r="S61">
        <v>628.16450195312495</v>
      </c>
      <c r="T61">
        <v>675.57220251726505</v>
      </c>
      <c r="U61">
        <v>618.7001353277127</v>
      </c>
      <c r="V61">
        <v>547.90642072690969</v>
      </c>
      <c r="W61">
        <v>564.18755840289566</v>
      </c>
      <c r="X61">
        <v>545.12141034498507</v>
      </c>
      <c r="Y61">
        <v>438.18886359995878</v>
      </c>
    </row>
    <row r="62" spans="1:25">
      <c r="A62">
        <v>165</v>
      </c>
      <c r="B62">
        <v>2.73</v>
      </c>
      <c r="C62">
        <v>350</v>
      </c>
      <c r="D62">
        <v>44.859335302889463</v>
      </c>
      <c r="E62">
        <v>3.0909090909090908</v>
      </c>
      <c r="F62">
        <v>2080</v>
      </c>
      <c r="G62" s="20">
        <v>1828.988061444968</v>
      </c>
      <c r="H62">
        <v>2164.8263957136769</v>
      </c>
      <c r="I62">
        <v>2164.8263547142142</v>
      </c>
      <c r="J62">
        <v>2164.8504253752658</v>
      </c>
      <c r="K62">
        <v>1758.7542163359669</v>
      </c>
      <c r="L62">
        <v>1840.9821764308999</v>
      </c>
      <c r="M62">
        <v>1770.996809247235</v>
      </c>
      <c r="N62">
        <v>1876.16205106499</v>
      </c>
      <c r="O62">
        <v>1870.473442455859</v>
      </c>
      <c r="P62">
        <v>1831.050708376938</v>
      </c>
      <c r="Q62" s="20">
        <v>1774.8799616384119</v>
      </c>
      <c r="R62" s="20">
        <v>1947.680444335937</v>
      </c>
      <c r="S62">
        <v>2005.080517578125</v>
      </c>
      <c r="T62">
        <v>1748.9259934723384</v>
      </c>
      <c r="U62">
        <v>1685.8749113696579</v>
      </c>
      <c r="V62">
        <v>1446.3846554018824</v>
      </c>
      <c r="W62">
        <v>1424.8794817400847</v>
      </c>
      <c r="X62">
        <v>1586.5710539755651</v>
      </c>
      <c r="Y62">
        <v>1326.4348811940599</v>
      </c>
    </row>
    <row r="63" spans="1:25">
      <c r="A63">
        <v>95.25</v>
      </c>
      <c r="B63">
        <v>3.7250000000000001</v>
      </c>
      <c r="C63">
        <v>281.45085499999999</v>
      </c>
      <c r="D63">
        <v>34.999933849999998</v>
      </c>
      <c r="E63">
        <v>5.2913385826771657</v>
      </c>
      <c r="F63">
        <v>637.43225186152858</v>
      </c>
      <c r="G63" s="20">
        <v>654.61162955753537</v>
      </c>
      <c r="H63">
        <v>-32.457322684540941</v>
      </c>
      <c r="I63">
        <v>-32.457082269003152</v>
      </c>
      <c r="J63">
        <v>-32.463832114969136</v>
      </c>
      <c r="K63">
        <v>750.78124863744029</v>
      </c>
      <c r="L63">
        <v>689.80325377278052</v>
      </c>
      <c r="M63">
        <v>650.57861291705353</v>
      </c>
      <c r="N63">
        <v>623.87645934564284</v>
      </c>
      <c r="O63">
        <v>662.16892693730983</v>
      </c>
      <c r="P63">
        <v>606.99907850957993</v>
      </c>
      <c r="Q63" s="20">
        <v>722.72336480940726</v>
      </c>
      <c r="R63" s="20">
        <v>626.67409667968752</v>
      </c>
      <c r="S63">
        <v>706.28193359374995</v>
      </c>
      <c r="T63">
        <v>724.92143629041072</v>
      </c>
      <c r="U63">
        <v>700.25997291045815</v>
      </c>
      <c r="V63">
        <v>619.08417624058359</v>
      </c>
      <c r="W63">
        <v>649.03290601474816</v>
      </c>
      <c r="X63">
        <v>580.35337007771034</v>
      </c>
      <c r="Y63">
        <v>493.69958262754392</v>
      </c>
    </row>
    <row r="64" spans="1:25">
      <c r="A64">
        <v>320</v>
      </c>
      <c r="B64">
        <v>7</v>
      </c>
      <c r="C64">
        <v>249.9</v>
      </c>
      <c r="D64">
        <v>30.652345458641939</v>
      </c>
      <c r="E64">
        <v>1.625</v>
      </c>
      <c r="F64">
        <v>5894</v>
      </c>
      <c r="G64" s="20">
        <v>6316.1925911169556</v>
      </c>
      <c r="H64">
        <v>7619.2073990441013</v>
      </c>
      <c r="I64">
        <v>7619.2069479264783</v>
      </c>
      <c r="J64">
        <v>7619.2529634891516</v>
      </c>
      <c r="K64">
        <v>6359.2836418319039</v>
      </c>
      <c r="L64">
        <v>6223.8195404150101</v>
      </c>
      <c r="M64">
        <v>6399.0647055259706</v>
      </c>
      <c r="N64">
        <v>6681.4147807938662</v>
      </c>
      <c r="O64">
        <v>6076.4402064735477</v>
      </c>
      <c r="P64">
        <v>6094.8546974731034</v>
      </c>
      <c r="Q64" s="20">
        <v>6581.2078646685422</v>
      </c>
      <c r="R64" s="20">
        <v>6292.9645507812502</v>
      </c>
      <c r="S64">
        <v>5947.5398437499998</v>
      </c>
      <c r="T64">
        <v>5698.9512252969553</v>
      </c>
      <c r="U64">
        <v>5040.8136300073775</v>
      </c>
      <c r="V64">
        <v>4375.5799815541623</v>
      </c>
      <c r="W64">
        <v>4538.0143910314182</v>
      </c>
      <c r="X64">
        <v>5104.7204287774621</v>
      </c>
      <c r="Y64">
        <v>3854.734805291454</v>
      </c>
    </row>
    <row r="65" spans="1:25">
      <c r="A65">
        <v>273</v>
      </c>
      <c r="B65">
        <v>8</v>
      </c>
      <c r="C65">
        <v>306.7</v>
      </c>
      <c r="D65">
        <v>29.62</v>
      </c>
      <c r="E65">
        <v>4.0293040293040292</v>
      </c>
      <c r="F65">
        <v>5576</v>
      </c>
      <c r="G65" s="20">
        <v>5384.7231789404595</v>
      </c>
      <c r="H65">
        <v>6734.3717021336734</v>
      </c>
      <c r="I65">
        <v>6734.3712443805616</v>
      </c>
      <c r="J65">
        <v>6734.343466286603</v>
      </c>
      <c r="K65">
        <v>5031.5450609829622</v>
      </c>
      <c r="L65">
        <v>5319.1354035155482</v>
      </c>
      <c r="M65">
        <v>5403.7333876708708</v>
      </c>
      <c r="N65">
        <v>5512.2451230674351</v>
      </c>
      <c r="O65">
        <v>5414.029073436318</v>
      </c>
      <c r="P65">
        <v>5332.5445876905351</v>
      </c>
      <c r="Q65" s="20">
        <v>5055.634284353855</v>
      </c>
      <c r="R65" s="20">
        <v>5193.3202148437504</v>
      </c>
      <c r="S65">
        <v>5313.0871093750002</v>
      </c>
      <c r="T65">
        <v>4969.7765201280472</v>
      </c>
      <c r="U65">
        <v>4845.6657865455418</v>
      </c>
      <c r="V65">
        <v>4280.2918663757455</v>
      </c>
      <c r="W65">
        <v>4270.5572895822415</v>
      </c>
      <c r="X65">
        <v>4293.9882129893922</v>
      </c>
      <c r="Y65">
        <v>3463.3521489664549</v>
      </c>
    </row>
    <row r="66" spans="1:25">
      <c r="A66">
        <v>222</v>
      </c>
      <c r="B66">
        <v>6.47</v>
      </c>
      <c r="C66">
        <v>843</v>
      </c>
      <c r="D66">
        <v>25.4</v>
      </c>
      <c r="E66">
        <v>3</v>
      </c>
      <c r="F66">
        <v>4964</v>
      </c>
      <c r="G66" s="20">
        <v>5465.6154284800868</v>
      </c>
      <c r="H66">
        <v>6382.206468457518</v>
      </c>
      <c r="I66">
        <v>6382.2059600112088</v>
      </c>
      <c r="J66">
        <v>6382.1051460322797</v>
      </c>
      <c r="K66">
        <v>5590.9098503575442</v>
      </c>
      <c r="L66">
        <v>5546.7225023499986</v>
      </c>
      <c r="M66">
        <v>5443.0819580429315</v>
      </c>
      <c r="N66">
        <v>5592.2345057025113</v>
      </c>
      <c r="O66">
        <v>5269.7477668532874</v>
      </c>
      <c r="P66">
        <v>5455.6773663463518</v>
      </c>
      <c r="Q66" s="20">
        <v>5232.9472608922806</v>
      </c>
      <c r="R66" s="20">
        <v>5170.9296875</v>
      </c>
      <c r="S66">
        <v>4966.40625</v>
      </c>
      <c r="T66">
        <v>5315.2429648480083</v>
      </c>
      <c r="U66">
        <v>6485.3887989016057</v>
      </c>
      <c r="V66">
        <v>6213.8783187468534</v>
      </c>
    </row>
    <row r="67" spans="1:25">
      <c r="A67">
        <v>450</v>
      </c>
      <c r="B67">
        <v>3.2</v>
      </c>
      <c r="C67">
        <v>265</v>
      </c>
      <c r="D67">
        <v>24.638000000000002</v>
      </c>
      <c r="E67">
        <v>4.1955555555555559</v>
      </c>
      <c r="F67">
        <v>4540</v>
      </c>
      <c r="G67" s="20">
        <v>3647.451336930892</v>
      </c>
      <c r="H67">
        <v>10838.751957806549</v>
      </c>
      <c r="I67">
        <v>10838.75026830939</v>
      </c>
      <c r="J67">
        <v>10838.74309612696</v>
      </c>
      <c r="K67">
        <v>4817.388971899305</v>
      </c>
      <c r="L67">
        <v>6973.1643788919409</v>
      </c>
      <c r="M67">
        <v>4417.9252427184456</v>
      </c>
      <c r="N67">
        <v>3985.97066579381</v>
      </c>
      <c r="O67">
        <v>3867.898354568003</v>
      </c>
      <c r="P67">
        <v>4066.1043260430251</v>
      </c>
      <c r="Q67" s="20">
        <v>3897.1563123861279</v>
      </c>
      <c r="R67" s="20">
        <v>3893.2366699218751</v>
      </c>
      <c r="S67">
        <v>4374.6298339843752</v>
      </c>
      <c r="T67">
        <v>4708.0647430123445</v>
      </c>
      <c r="U67">
        <v>5736.1344098051359</v>
      </c>
      <c r="V67">
        <v>4830.0054206567347</v>
      </c>
      <c r="W67">
        <v>4512.9159061264472</v>
      </c>
      <c r="Y67">
        <v>3969.8694291341212</v>
      </c>
    </row>
    <row r="68" spans="1:25">
      <c r="A68">
        <v>630</v>
      </c>
      <c r="B68">
        <v>11.6</v>
      </c>
      <c r="C68">
        <v>347.2</v>
      </c>
      <c r="D68">
        <v>46</v>
      </c>
      <c r="E68">
        <v>3</v>
      </c>
      <c r="F68">
        <v>24400</v>
      </c>
      <c r="G68" s="20">
        <v>19598.67393440755</v>
      </c>
      <c r="H68">
        <v>19451.677942411228</v>
      </c>
      <c r="I68">
        <v>19451.675581987729</v>
      </c>
      <c r="J68">
        <v>19451.582643831822</v>
      </c>
      <c r="K68">
        <v>25033.833333333328</v>
      </c>
      <c r="L68">
        <v>24121.127460851651</v>
      </c>
      <c r="M68">
        <v>22344.324757281549</v>
      </c>
      <c r="N68">
        <v>24935.002364690481</v>
      </c>
      <c r="O68">
        <v>23150.947916983099</v>
      </c>
      <c r="P68">
        <v>23773.326566494288</v>
      </c>
      <c r="Q68" s="20">
        <v>25610.80000000001</v>
      </c>
      <c r="R68" s="20">
        <v>23142.438281250001</v>
      </c>
      <c r="S68">
        <v>25258.359765624999</v>
      </c>
      <c r="T68">
        <v>24384.953738158354</v>
      </c>
      <c r="U68">
        <v>25978.374769627564</v>
      </c>
      <c r="V68">
        <v>22348.647660911</v>
      </c>
      <c r="W68">
        <v>20729.448859257722</v>
      </c>
      <c r="X68">
        <v>24469.077852128539</v>
      </c>
      <c r="Y68">
        <v>20285.152999483871</v>
      </c>
    </row>
    <row r="69" spans="1:25">
      <c r="A69">
        <v>150</v>
      </c>
      <c r="B69">
        <v>1.5</v>
      </c>
      <c r="C69">
        <v>222.7</v>
      </c>
      <c r="D69">
        <v>12.48</v>
      </c>
      <c r="E69">
        <v>3.06</v>
      </c>
      <c r="F69">
        <v>666</v>
      </c>
      <c r="G69" s="20">
        <v>836.09973478613722</v>
      </c>
      <c r="H69">
        <v>383.38961510310361</v>
      </c>
      <c r="I69">
        <v>383.38982619382313</v>
      </c>
      <c r="J69">
        <v>383.47935783981268</v>
      </c>
      <c r="K69">
        <v>803.20228571428561</v>
      </c>
      <c r="L69">
        <v>777.83552569388826</v>
      </c>
      <c r="M69">
        <v>813.75790706143539</v>
      </c>
      <c r="N69">
        <v>765.00562251262841</v>
      </c>
      <c r="O69">
        <v>795.48571178673626</v>
      </c>
      <c r="P69">
        <v>701.99516956043601</v>
      </c>
      <c r="Q69" s="20">
        <v>766.30027956411584</v>
      </c>
      <c r="R69" s="20">
        <v>771.9453002929688</v>
      </c>
      <c r="S69">
        <v>783.32646484375005</v>
      </c>
      <c r="T69">
        <v>686.66189515116298</v>
      </c>
      <c r="U69">
        <v>464.27238020081808</v>
      </c>
      <c r="V69">
        <v>402.88993960504001</v>
      </c>
      <c r="W69">
        <v>384.52306475978509</v>
      </c>
    </row>
    <row r="70" spans="1:25">
      <c r="A70">
        <v>157</v>
      </c>
      <c r="B70">
        <v>2.48</v>
      </c>
      <c r="C70">
        <v>326</v>
      </c>
      <c r="D70">
        <v>73.2</v>
      </c>
      <c r="E70">
        <v>2</v>
      </c>
      <c r="F70">
        <v>2068</v>
      </c>
      <c r="G70" s="20">
        <v>2115.9274487482321</v>
      </c>
      <c r="H70">
        <v>2145.6016784223461</v>
      </c>
      <c r="I70">
        <v>2145.6017201281838</v>
      </c>
      <c r="J70">
        <v>2145.6387497913879</v>
      </c>
      <c r="K70">
        <v>2079.0392032920522</v>
      </c>
      <c r="L70">
        <v>2059.2254566882411</v>
      </c>
      <c r="M70">
        <v>2087.9726067858078</v>
      </c>
      <c r="N70">
        <v>1905.9354224186859</v>
      </c>
      <c r="O70">
        <v>2001.386647425416</v>
      </c>
      <c r="P70">
        <v>2011.6601522677449</v>
      </c>
      <c r="Q70" s="20">
        <v>1953.4523233562149</v>
      </c>
      <c r="R70" s="20">
        <v>2035.057055664063</v>
      </c>
      <c r="S70">
        <v>2086.9384033203123</v>
      </c>
      <c r="T70">
        <v>2067.261023660541</v>
      </c>
      <c r="U70">
        <v>1964.7721870344099</v>
      </c>
      <c r="V70">
        <v>1650.5884883877275</v>
      </c>
    </row>
    <row r="71" spans="1:25">
      <c r="A71">
        <v>166</v>
      </c>
      <c r="B71">
        <v>5</v>
      </c>
      <c r="C71">
        <v>274.60000000000002</v>
      </c>
      <c r="D71">
        <v>16.643024288945991</v>
      </c>
      <c r="E71">
        <v>3.975903614457831</v>
      </c>
      <c r="F71">
        <v>1744</v>
      </c>
      <c r="G71" s="20">
        <v>1715</v>
      </c>
      <c r="H71">
        <v>2168.0197848453799</v>
      </c>
      <c r="I71">
        <v>2168.0198972248349</v>
      </c>
      <c r="J71">
        <v>2168.0450655357081</v>
      </c>
      <c r="K71">
        <v>1841.8780006482241</v>
      </c>
      <c r="L71">
        <v>1739.16324668369</v>
      </c>
      <c r="M71">
        <v>1723.836278266469</v>
      </c>
      <c r="N71">
        <v>1702.41664745665</v>
      </c>
      <c r="O71">
        <v>1738.1848520553051</v>
      </c>
      <c r="P71">
        <v>1769.5107744149909</v>
      </c>
      <c r="Q71" s="20">
        <v>1765.8111162467981</v>
      </c>
      <c r="R71" s="20">
        <v>1716.949194335938</v>
      </c>
      <c r="S71">
        <v>1826.6291259765626</v>
      </c>
      <c r="T71">
        <v>1657.2986040334981</v>
      </c>
      <c r="U71">
        <v>1443.1283466600025</v>
      </c>
      <c r="V71">
        <v>1291.6378650011957</v>
      </c>
      <c r="W71">
        <v>1211.7429393247573</v>
      </c>
    </row>
    <row r="72" spans="1:25">
      <c r="A72">
        <v>267.39999999999998</v>
      </c>
      <c r="B72">
        <v>7</v>
      </c>
      <c r="C72">
        <v>460.91255000000001</v>
      </c>
      <c r="D72">
        <v>48.346784499999998</v>
      </c>
      <c r="E72">
        <v>5.9835452505609581</v>
      </c>
      <c r="F72">
        <v>5187.717865149978</v>
      </c>
      <c r="G72" s="20">
        <v>4928.5239612810637</v>
      </c>
      <c r="H72">
        <v>7240.3001078389007</v>
      </c>
      <c r="I72">
        <v>7240.2992141749883</v>
      </c>
      <c r="J72">
        <v>7240.1803108939384</v>
      </c>
      <c r="K72">
        <v>6268.8015264337091</v>
      </c>
      <c r="L72">
        <v>5308.7760243901384</v>
      </c>
      <c r="M72">
        <v>5100.8100728694308</v>
      </c>
      <c r="N72">
        <v>5426.2183214545312</v>
      </c>
      <c r="O72">
        <v>5128.2887800412818</v>
      </c>
      <c r="P72">
        <v>5125.9263227997226</v>
      </c>
      <c r="Q72" s="20">
        <v>5233.2269853953958</v>
      </c>
      <c r="R72" s="20">
        <v>5028.8057617187496</v>
      </c>
      <c r="S72">
        <v>5303.31494140625</v>
      </c>
      <c r="T72">
        <v>5567.2948940647693</v>
      </c>
      <c r="U72">
        <v>6714.0574890753605</v>
      </c>
      <c r="V72">
        <v>5894.8693587738617</v>
      </c>
      <c r="W72">
        <v>6005.709783573423</v>
      </c>
      <c r="Y72">
        <v>4777.7833097654602</v>
      </c>
    </row>
    <row r="73" spans="1:25">
      <c r="A73">
        <v>109</v>
      </c>
      <c r="B73">
        <v>6.47</v>
      </c>
      <c r="C73">
        <v>853</v>
      </c>
      <c r="D73">
        <v>40.5</v>
      </c>
      <c r="E73">
        <v>3</v>
      </c>
      <c r="F73">
        <v>2446</v>
      </c>
      <c r="G73" s="20">
        <v>2549.72479446438</v>
      </c>
      <c r="H73">
        <v>3057.5558641245821</v>
      </c>
      <c r="I73">
        <v>3057.5559581982902</v>
      </c>
      <c r="J73">
        <v>3057.4547585454161</v>
      </c>
      <c r="K73">
        <v>1775.23695</v>
      </c>
      <c r="L73">
        <v>2220.5278934797288</v>
      </c>
      <c r="M73">
        <v>2386.2899629530471</v>
      </c>
      <c r="N73">
        <v>2137.0819158366062</v>
      </c>
      <c r="O73">
        <v>2319.4669322203049</v>
      </c>
      <c r="P73">
        <v>2297.439493638934</v>
      </c>
      <c r="Q73" s="20">
        <v>2242.0623132875521</v>
      </c>
      <c r="R73" s="20">
        <v>2346.6751953124999</v>
      </c>
      <c r="S73">
        <v>2454.028076171875</v>
      </c>
      <c r="T73">
        <v>2408.267030338533</v>
      </c>
      <c r="U73">
        <v>2995.5919000122981</v>
      </c>
      <c r="V73">
        <v>2876.4901265333015</v>
      </c>
      <c r="W73">
        <v>2467.5218642610257</v>
      </c>
    </row>
    <row r="74" spans="1:25">
      <c r="A74">
        <v>60</v>
      </c>
      <c r="B74">
        <v>1.87</v>
      </c>
      <c r="C74">
        <v>282</v>
      </c>
      <c r="D74">
        <v>68.160000000000011</v>
      </c>
      <c r="E74">
        <v>3</v>
      </c>
      <c r="F74">
        <v>312</v>
      </c>
      <c r="G74" s="20">
        <v>454.24545454545461</v>
      </c>
      <c r="H74">
        <v>-1282.478507960564</v>
      </c>
      <c r="I74">
        <v>-1282.4779908718369</v>
      </c>
      <c r="J74">
        <v>-1282.4362211079731</v>
      </c>
      <c r="K74">
        <v>240.67425</v>
      </c>
      <c r="L74">
        <v>347.18135731038501</v>
      </c>
      <c r="M74">
        <v>336.27712621607759</v>
      </c>
      <c r="N74">
        <v>318.94251579492629</v>
      </c>
      <c r="O74">
        <v>336.72320855470429</v>
      </c>
      <c r="P74">
        <v>345.13336699479993</v>
      </c>
      <c r="Q74" s="20">
        <v>338.99999999999989</v>
      </c>
      <c r="R74" s="20">
        <v>319.85733642578123</v>
      </c>
      <c r="S74">
        <v>191.93976745605468</v>
      </c>
      <c r="T74">
        <v>402.77388458208861</v>
      </c>
      <c r="U74">
        <v>325.45241415525788</v>
      </c>
      <c r="V74">
        <v>279.35528166779937</v>
      </c>
      <c r="Y74">
        <v>255.2312671706791</v>
      </c>
    </row>
    <row r="75" spans="1:25">
      <c r="A75">
        <v>320</v>
      </c>
      <c r="B75">
        <v>7</v>
      </c>
      <c r="C75">
        <v>250.06957499999999</v>
      </c>
      <c r="D75">
        <v>43.9534053</v>
      </c>
      <c r="E75">
        <v>1.625</v>
      </c>
      <c r="F75">
        <v>6384.1291686439235</v>
      </c>
      <c r="G75" s="20">
        <v>5933.0183375804836</v>
      </c>
      <c r="H75">
        <v>7835.541365585892</v>
      </c>
      <c r="I75">
        <v>7835.540866200774</v>
      </c>
      <c r="J75">
        <v>7835.5761878933554</v>
      </c>
      <c r="K75">
        <v>6359.2836418319039</v>
      </c>
      <c r="L75">
        <v>6097.3379829755631</v>
      </c>
      <c r="M75">
        <v>5936.0862713121969</v>
      </c>
      <c r="N75">
        <v>6563.6864658487711</v>
      </c>
      <c r="O75">
        <v>5982.7035211599523</v>
      </c>
      <c r="P75">
        <v>6048.9799773742589</v>
      </c>
      <c r="Q75" s="20">
        <v>6674.9322964813427</v>
      </c>
      <c r="R75" s="20">
        <v>5932.2653320312502</v>
      </c>
      <c r="S75">
        <v>5950.4241210937498</v>
      </c>
      <c r="T75">
        <v>6566.7343964881102</v>
      </c>
      <c r="U75">
        <v>6020.8849889683215</v>
      </c>
      <c r="V75">
        <v>5159.8697705969671</v>
      </c>
      <c r="W75">
        <v>5525.9984364379752</v>
      </c>
      <c r="X75">
        <v>6053.1641681676119</v>
      </c>
      <c r="Y75">
        <v>4782.0824387642333</v>
      </c>
    </row>
    <row r="76" spans="1:25">
      <c r="A76">
        <v>47.28</v>
      </c>
      <c r="B76">
        <v>1.87</v>
      </c>
      <c r="C76">
        <v>360</v>
      </c>
      <c r="D76">
        <v>26.454317301666318</v>
      </c>
      <c r="E76">
        <v>7.1912013536379016</v>
      </c>
      <c r="F76">
        <v>157</v>
      </c>
      <c r="G76" s="20">
        <v>183.21108518331999</v>
      </c>
      <c r="H76">
        <v>-1819.1781794480751</v>
      </c>
      <c r="I76">
        <v>-1819.1780005659159</v>
      </c>
      <c r="J76">
        <v>-1819.2246378880659</v>
      </c>
      <c r="K76">
        <v>189.36983216783219</v>
      </c>
      <c r="L76">
        <v>181.94323964497039</v>
      </c>
      <c r="M76">
        <v>186.22265372168289</v>
      </c>
      <c r="N76">
        <v>191.09781734071109</v>
      </c>
      <c r="O76">
        <v>184.8379307285428</v>
      </c>
      <c r="P76">
        <v>182.68315727281239</v>
      </c>
      <c r="Q76" s="20">
        <v>177.0490404074431</v>
      </c>
      <c r="R76" s="20">
        <v>186.44801635742189</v>
      </c>
      <c r="S76">
        <v>219.26667480468751</v>
      </c>
      <c r="T76">
        <v>152.41051332813967</v>
      </c>
      <c r="U76">
        <v>194.97035263449277</v>
      </c>
      <c r="V76">
        <v>174.72290291561799</v>
      </c>
      <c r="W76">
        <v>167.44047426037156</v>
      </c>
      <c r="Y76">
        <v>128.5908735291693</v>
      </c>
    </row>
    <row r="77" spans="1:25">
      <c r="A77">
        <v>360</v>
      </c>
      <c r="B77">
        <v>6</v>
      </c>
      <c r="C77">
        <v>498</v>
      </c>
      <c r="D77">
        <v>31.5</v>
      </c>
      <c r="E77">
        <v>4.8888888888888893</v>
      </c>
      <c r="F77">
        <v>6888</v>
      </c>
      <c r="G77" s="20">
        <v>5978.4511366421293</v>
      </c>
      <c r="H77">
        <v>9697.6303508432247</v>
      </c>
      <c r="I77">
        <v>9697.6290295962917</v>
      </c>
      <c r="J77">
        <v>9697.53858940602</v>
      </c>
      <c r="K77">
        <v>7508.2751803549572</v>
      </c>
      <c r="L77">
        <v>7536.2369937536769</v>
      </c>
      <c r="M77">
        <v>7344.8020061725911</v>
      </c>
      <c r="N77">
        <v>9033.6924242170426</v>
      </c>
      <c r="O77">
        <v>7855.8010696905358</v>
      </c>
      <c r="P77">
        <v>7331.8339421529699</v>
      </c>
      <c r="Q77" s="20">
        <v>7488.04544431462</v>
      </c>
      <c r="R77" s="20">
        <v>7774.1139648437502</v>
      </c>
      <c r="S77">
        <v>7004.64453125</v>
      </c>
      <c r="T77">
        <v>7365.9352507954736</v>
      </c>
      <c r="U77">
        <v>8379.4200424549199</v>
      </c>
      <c r="V77">
        <v>7369.8582505207214</v>
      </c>
      <c r="W77">
        <v>6559.9344578197379</v>
      </c>
      <c r="Y77">
        <v>6020.5287320920352</v>
      </c>
    </row>
    <row r="78" spans="1:25">
      <c r="A78">
        <v>559.4</v>
      </c>
      <c r="B78">
        <v>16.54</v>
      </c>
      <c r="C78">
        <v>546</v>
      </c>
      <c r="D78">
        <v>25.36</v>
      </c>
      <c r="E78">
        <v>1.7784233106900249</v>
      </c>
      <c r="F78">
        <v>29590</v>
      </c>
      <c r="G78" s="20">
        <v>28911.710454724202</v>
      </c>
      <c r="H78">
        <v>18830.96416577751</v>
      </c>
      <c r="I78">
        <v>18830.962513965809</v>
      </c>
      <c r="J78">
        <v>18830.847125745549</v>
      </c>
      <c r="K78">
        <v>25033.833333333328</v>
      </c>
      <c r="L78">
        <v>28426.274855769228</v>
      </c>
      <c r="M78">
        <v>28916.922330097081</v>
      </c>
      <c r="N78">
        <v>26749.53086445175</v>
      </c>
      <c r="O78">
        <v>28674.626783480231</v>
      </c>
      <c r="P78">
        <v>28746.595932049539</v>
      </c>
      <c r="Q78" s="20">
        <v>28939.9581892063</v>
      </c>
      <c r="R78" s="20">
        <v>29405.469531250001</v>
      </c>
      <c r="S78">
        <v>29001.439843749999</v>
      </c>
      <c r="T78">
        <v>28926.86950012208</v>
      </c>
      <c r="U78">
        <v>28927.889224110793</v>
      </c>
      <c r="V78">
        <v>27417.800522364218</v>
      </c>
      <c r="W78">
        <v>24149.109145917078</v>
      </c>
    </row>
    <row r="79" spans="1:25">
      <c r="A79">
        <v>108</v>
      </c>
      <c r="B79">
        <v>4</v>
      </c>
      <c r="C79">
        <v>338.88</v>
      </c>
      <c r="D79">
        <v>28.99</v>
      </c>
      <c r="E79">
        <v>6</v>
      </c>
      <c r="F79">
        <v>828.1</v>
      </c>
      <c r="G79" s="20">
        <v>825.45497547806519</v>
      </c>
      <c r="H79">
        <v>596.3325706110453</v>
      </c>
      <c r="I79">
        <v>596.3326404499378</v>
      </c>
      <c r="J79">
        <v>596.29651003352387</v>
      </c>
      <c r="K79">
        <v>827.04584777311845</v>
      </c>
      <c r="L79">
        <v>836.50617761252238</v>
      </c>
      <c r="M79">
        <v>825.82668855649968</v>
      </c>
      <c r="N79">
        <v>865.46020270902102</v>
      </c>
      <c r="O79">
        <v>851.85160105125328</v>
      </c>
      <c r="P79">
        <v>847.60715044656718</v>
      </c>
      <c r="Q79" s="20">
        <v>946.60993246918531</v>
      </c>
      <c r="R79" s="20">
        <v>823.59958496093748</v>
      </c>
      <c r="S79">
        <v>766.11467285156255</v>
      </c>
      <c r="T79">
        <v>879.81156903023452</v>
      </c>
      <c r="U79">
        <v>945.15760476973958</v>
      </c>
      <c r="V79">
        <v>842.84976677860857</v>
      </c>
      <c r="W79">
        <v>835.06789897403735</v>
      </c>
      <c r="X79">
        <v>733.64709421832674</v>
      </c>
      <c r="Y79">
        <v>642.68265571786208</v>
      </c>
    </row>
    <row r="80" spans="1:25">
      <c r="A80">
        <v>153</v>
      </c>
      <c r="B80">
        <v>3.2</v>
      </c>
      <c r="C80">
        <v>413.6</v>
      </c>
      <c r="D80">
        <v>21.54</v>
      </c>
      <c r="E80">
        <v>2.1045751633986929</v>
      </c>
      <c r="F80">
        <v>1191</v>
      </c>
      <c r="G80" s="20">
        <v>1193.7053363058139</v>
      </c>
      <c r="H80">
        <v>1685.889982898022</v>
      </c>
      <c r="I80">
        <v>1685.8901871855801</v>
      </c>
      <c r="J80">
        <v>1685.9419466457609</v>
      </c>
      <c r="K80">
        <v>1295.828961488485</v>
      </c>
      <c r="L80">
        <v>1322.553195966997</v>
      </c>
      <c r="M80">
        <v>1290.693257368388</v>
      </c>
      <c r="N80">
        <v>1311.38303341453</v>
      </c>
      <c r="O80">
        <v>1333.165622049625</v>
      </c>
      <c r="P80">
        <v>1389.3500583520499</v>
      </c>
      <c r="Q80" s="20">
        <v>1295.2870604262639</v>
      </c>
      <c r="R80" s="20">
        <v>1237.311059570312</v>
      </c>
      <c r="S80">
        <v>1159.5760498046875</v>
      </c>
      <c r="T80">
        <v>1361.6583538185091</v>
      </c>
      <c r="U80">
        <v>1372.6202329378032</v>
      </c>
      <c r="V80">
        <v>1222.4061735689231</v>
      </c>
      <c r="W80">
        <v>1089.6961019440726</v>
      </c>
      <c r="Y80">
        <v>964.8063287849684</v>
      </c>
    </row>
    <row r="81" spans="1:25">
      <c r="A81">
        <v>114.3</v>
      </c>
      <c r="B81">
        <v>5.9</v>
      </c>
      <c r="C81">
        <v>355</v>
      </c>
      <c r="D81">
        <v>56.2</v>
      </c>
      <c r="E81">
        <v>5.2493438320209984</v>
      </c>
      <c r="F81">
        <v>1723.19</v>
      </c>
      <c r="G81" s="20">
        <v>1463.3970997669251</v>
      </c>
      <c r="H81">
        <v>1769.5594082833411</v>
      </c>
      <c r="I81">
        <v>1769.5595074716341</v>
      </c>
      <c r="J81">
        <v>1769.502993140934</v>
      </c>
      <c r="K81">
        <v>1402.827281491459</v>
      </c>
      <c r="L81">
        <v>1399.783193177188</v>
      </c>
      <c r="M81">
        <v>1610.084444962009</v>
      </c>
      <c r="N81">
        <v>1399.213104966668</v>
      </c>
      <c r="O81">
        <v>1501.457749335008</v>
      </c>
      <c r="P81">
        <v>1468.103169229991</v>
      </c>
      <c r="Q81" s="20">
        <v>1479.6694234605729</v>
      </c>
      <c r="R81" s="20">
        <v>1534.25712890625</v>
      </c>
      <c r="S81">
        <v>1256.755908203125</v>
      </c>
      <c r="T81">
        <v>1451.5988419833452</v>
      </c>
      <c r="U81">
        <v>1619.2515246051662</v>
      </c>
      <c r="V81">
        <v>1432.4325256861332</v>
      </c>
      <c r="W81">
        <v>1476.6557479012627</v>
      </c>
      <c r="X81">
        <v>1284.004029867805</v>
      </c>
      <c r="Y81">
        <v>1127.525696144636</v>
      </c>
    </row>
    <row r="82" spans="1:25">
      <c r="A82">
        <v>190</v>
      </c>
      <c r="B82">
        <v>0.86</v>
      </c>
      <c r="C82">
        <v>210.7</v>
      </c>
      <c r="D82">
        <v>41</v>
      </c>
      <c r="E82">
        <v>3.4684210526315788</v>
      </c>
      <c r="F82">
        <v>1350</v>
      </c>
      <c r="G82" s="20">
        <v>1748.475366667624</v>
      </c>
      <c r="H82">
        <v>1930.7111205831759</v>
      </c>
      <c r="I82">
        <v>1930.710923993659</v>
      </c>
      <c r="J82">
        <v>1930.7694617914781</v>
      </c>
      <c r="K82">
        <v>1942.180457373242</v>
      </c>
      <c r="L82">
        <v>1795.4317833376051</v>
      </c>
      <c r="M82">
        <v>1666.344265713924</v>
      </c>
      <c r="N82">
        <v>1453.890082998686</v>
      </c>
      <c r="O82">
        <v>1495.738293815406</v>
      </c>
      <c r="P82">
        <v>1470.7941786336089</v>
      </c>
      <c r="Q82" s="20">
        <v>1678.394866263639</v>
      </c>
      <c r="R82" s="20">
        <v>1445.525439453125</v>
      </c>
      <c r="S82">
        <v>1419.3536865234375</v>
      </c>
      <c r="T82">
        <v>1524.3014932555138</v>
      </c>
      <c r="U82">
        <v>1315.942315193259</v>
      </c>
      <c r="V82">
        <v>1074.6199808935646</v>
      </c>
      <c r="Y82">
        <v>892.11245105528315</v>
      </c>
    </row>
    <row r="83" spans="1:25">
      <c r="A83">
        <v>89.32</v>
      </c>
      <c r="B83">
        <v>2.74</v>
      </c>
      <c r="C83">
        <v>360</v>
      </c>
      <c r="D83">
        <v>23.338477713828741</v>
      </c>
      <c r="E83">
        <v>3.8065382892969102</v>
      </c>
      <c r="F83">
        <v>494</v>
      </c>
      <c r="G83" s="20">
        <v>576.82097487704903</v>
      </c>
      <c r="H83">
        <v>-513.29094540724373</v>
      </c>
      <c r="I83">
        <v>-513.29055640841091</v>
      </c>
      <c r="J83">
        <v>-513.26030871068338</v>
      </c>
      <c r="K83">
        <v>569.68279720279725</v>
      </c>
      <c r="L83">
        <v>576.80240091585767</v>
      </c>
      <c r="M83">
        <v>569.44642910328037</v>
      </c>
      <c r="N83">
        <v>574.52518858855592</v>
      </c>
      <c r="O83">
        <v>580.38158678902983</v>
      </c>
      <c r="P83">
        <v>576.31019906229665</v>
      </c>
      <c r="Q83" s="20">
        <v>605.83968485501225</v>
      </c>
      <c r="R83" s="20">
        <v>578.65017089843752</v>
      </c>
      <c r="S83">
        <v>594.212646484375</v>
      </c>
      <c r="T83">
        <v>617.16150138586943</v>
      </c>
      <c r="U83">
        <v>563.49006646827877</v>
      </c>
      <c r="V83">
        <v>503.73836563936237</v>
      </c>
      <c r="W83">
        <v>485.67566945652817</v>
      </c>
      <c r="Y83">
        <v>386.66115844862873</v>
      </c>
    </row>
    <row r="84" spans="1:25">
      <c r="A84">
        <v>218.5</v>
      </c>
      <c r="B84">
        <v>6.375</v>
      </c>
      <c r="C84">
        <v>302.04482000000002</v>
      </c>
      <c r="D84">
        <v>30.767383710000001</v>
      </c>
      <c r="E84">
        <v>4.3089244851258579</v>
      </c>
      <c r="F84">
        <v>2745.8620080188921</v>
      </c>
      <c r="G84" s="20">
        <v>2756.1067677574952</v>
      </c>
      <c r="H84">
        <v>4567.9221010917636</v>
      </c>
      <c r="I84">
        <v>4567.9218552349557</v>
      </c>
      <c r="J84">
        <v>4567.9051396540199</v>
      </c>
      <c r="K84">
        <v>4091.770567267688</v>
      </c>
      <c r="L84">
        <v>3191.1734369185669</v>
      </c>
      <c r="M84">
        <v>2898.8412711350702</v>
      </c>
      <c r="N84">
        <v>2596.6900501008281</v>
      </c>
      <c r="O84">
        <v>2749.3116244465741</v>
      </c>
      <c r="P84">
        <v>2915.1924963670831</v>
      </c>
      <c r="Q84" s="20">
        <v>2981.1094003192989</v>
      </c>
      <c r="R84" s="20">
        <v>2675.0697753906252</v>
      </c>
      <c r="S84">
        <v>3064.694091796875</v>
      </c>
      <c r="T84">
        <v>3164.5661450412235</v>
      </c>
      <c r="U84">
        <v>3101.7425109334349</v>
      </c>
      <c r="V84">
        <v>2735.0714663404319</v>
      </c>
      <c r="W84">
        <v>2779.1917903130661</v>
      </c>
      <c r="X84">
        <v>2718.7453032169228</v>
      </c>
      <c r="Y84">
        <v>2226.2125610131329</v>
      </c>
    </row>
    <row r="85" spans="1:25">
      <c r="A85">
        <v>149</v>
      </c>
      <c r="B85">
        <v>2.96</v>
      </c>
      <c r="C85">
        <v>308</v>
      </c>
      <c r="D85">
        <v>25.4</v>
      </c>
      <c r="E85">
        <v>3</v>
      </c>
      <c r="F85">
        <v>941</v>
      </c>
      <c r="G85" s="20">
        <v>961.62492885216886</v>
      </c>
      <c r="H85">
        <v>1252.8318961755861</v>
      </c>
      <c r="I85">
        <v>1252.8320740775041</v>
      </c>
      <c r="J85">
        <v>1252.883758160496</v>
      </c>
      <c r="K85">
        <v>1044.9055451006061</v>
      </c>
      <c r="L85">
        <v>1038.172632655268</v>
      </c>
      <c r="M85">
        <v>1117.2489375385719</v>
      </c>
      <c r="N85">
        <v>1065.9901620196599</v>
      </c>
      <c r="O85">
        <v>1037.5240535214691</v>
      </c>
      <c r="P85">
        <v>1077.8019358557619</v>
      </c>
      <c r="Q85" s="20">
        <v>1049.76998002812</v>
      </c>
      <c r="R85" s="20">
        <v>961.450927734375</v>
      </c>
      <c r="S85">
        <v>1203.99560546875</v>
      </c>
      <c r="T85">
        <v>1159.5242389211319</v>
      </c>
      <c r="U85">
        <v>1086.004940809165</v>
      </c>
      <c r="V85">
        <v>952.38083941796333</v>
      </c>
      <c r="W85">
        <v>888.9474387047926</v>
      </c>
      <c r="Y85">
        <v>801.06165808295475</v>
      </c>
    </row>
    <row r="86" spans="1:25">
      <c r="A86">
        <v>116</v>
      </c>
      <c r="B86">
        <v>4.9000000000000004</v>
      </c>
      <c r="C86">
        <v>309.5</v>
      </c>
      <c r="D86">
        <v>55.603904580527328</v>
      </c>
      <c r="E86">
        <v>2.9655172413793101</v>
      </c>
      <c r="F86">
        <v>1080</v>
      </c>
      <c r="G86" s="20">
        <v>1199.7811284504751</v>
      </c>
      <c r="H86">
        <v>1229.938583136171</v>
      </c>
      <c r="I86">
        <v>1229.93893814168</v>
      </c>
      <c r="J86">
        <v>1229.957546353309</v>
      </c>
      <c r="K86">
        <v>1152.718997284142</v>
      </c>
      <c r="L86">
        <v>1215.549358187882</v>
      </c>
      <c r="M86">
        <v>1170.7272334201109</v>
      </c>
      <c r="N86">
        <v>1194.7977846519259</v>
      </c>
      <c r="O86">
        <v>1210.632838281505</v>
      </c>
      <c r="P86">
        <v>1231.982130896256</v>
      </c>
      <c r="Q86" s="20">
        <v>1364.590940071721</v>
      </c>
      <c r="R86" s="20">
        <v>1152.865795898437</v>
      </c>
      <c r="S86">
        <v>1247.182373046875</v>
      </c>
      <c r="T86">
        <v>1403.8009940580134</v>
      </c>
      <c r="U86">
        <v>1350.0461221809956</v>
      </c>
      <c r="V86">
        <v>1183.0056616819043</v>
      </c>
      <c r="W86">
        <v>1269.3827375228957</v>
      </c>
      <c r="X86">
        <v>1239.667279349658</v>
      </c>
      <c r="Y86">
        <v>990.38560237936906</v>
      </c>
    </row>
    <row r="87" spans="1:25">
      <c r="A87">
        <v>450</v>
      </c>
      <c r="B87">
        <v>2.96</v>
      </c>
      <c r="C87">
        <v>279</v>
      </c>
      <c r="D87">
        <v>85.1</v>
      </c>
      <c r="E87">
        <v>3</v>
      </c>
      <c r="F87">
        <v>11665</v>
      </c>
      <c r="G87" s="20">
        <v>7428.5111408534867</v>
      </c>
      <c r="H87">
        <v>11721.494264357891</v>
      </c>
      <c r="I87">
        <v>11721.49247755808</v>
      </c>
      <c r="J87">
        <v>11721.46566249655</v>
      </c>
      <c r="K87">
        <v>8397.476014958931</v>
      </c>
      <c r="L87">
        <v>9972.3119705808931</v>
      </c>
      <c r="M87">
        <v>9351.4307443365706</v>
      </c>
      <c r="N87">
        <v>8946.5010761400972</v>
      </c>
      <c r="O87">
        <v>9287.5593318281499</v>
      </c>
      <c r="P87">
        <v>9872.2273266805605</v>
      </c>
      <c r="Q87" s="20">
        <v>6640.5874374745044</v>
      </c>
      <c r="R87" s="20">
        <v>8278.5050781249993</v>
      </c>
      <c r="S87">
        <v>14668.401953125</v>
      </c>
      <c r="T87">
        <v>13192.983032864922</v>
      </c>
      <c r="U87">
        <v>15059.718256517375</v>
      </c>
      <c r="V87">
        <v>12282.82645165657</v>
      </c>
    </row>
    <row r="88" spans="1:25">
      <c r="A88">
        <v>193.7</v>
      </c>
      <c r="B88">
        <v>3</v>
      </c>
      <c r="C88">
        <v>398.8</v>
      </c>
      <c r="D88">
        <v>22.9183601613287</v>
      </c>
      <c r="E88">
        <v>5.1626226122870422</v>
      </c>
      <c r="F88">
        <v>1999.6</v>
      </c>
      <c r="G88" s="20">
        <v>1141.2848297824769</v>
      </c>
      <c r="H88">
        <v>3103.5988211100139</v>
      </c>
      <c r="I88">
        <v>3103.5984162504369</v>
      </c>
      <c r="J88">
        <v>3103.5713764778002</v>
      </c>
      <c r="K88">
        <v>1576.2207564136761</v>
      </c>
      <c r="L88">
        <v>1744.1374603475861</v>
      </c>
      <c r="M88">
        <v>1938.347036761988</v>
      </c>
      <c r="N88">
        <v>1686.830662635223</v>
      </c>
      <c r="O88">
        <v>1863.901802851098</v>
      </c>
      <c r="P88">
        <v>1829.7167979804431</v>
      </c>
      <c r="Q88" s="20">
        <v>1691.661519860686</v>
      </c>
      <c r="R88" s="20">
        <v>1889.0443359374999</v>
      </c>
      <c r="S88">
        <v>1654.735400390625</v>
      </c>
      <c r="T88">
        <v>1581.9034674973402</v>
      </c>
      <c r="U88">
        <v>1795.3243386292149</v>
      </c>
      <c r="V88">
        <v>1580.1667886981832</v>
      </c>
      <c r="W88">
        <v>1445.6452127828879</v>
      </c>
      <c r="Y88">
        <v>1290.0532082898969</v>
      </c>
    </row>
    <row r="89" spans="1:25">
      <c r="A89">
        <v>114.3</v>
      </c>
      <c r="B89">
        <v>3.35</v>
      </c>
      <c r="C89">
        <v>287.33</v>
      </c>
      <c r="D89">
        <v>96.868297488282096</v>
      </c>
      <c r="E89">
        <v>3</v>
      </c>
      <c r="F89">
        <v>1453.1</v>
      </c>
      <c r="G89" s="20">
        <v>1338.3983174490879</v>
      </c>
      <c r="H89">
        <v>1342.6550905126121</v>
      </c>
      <c r="I89">
        <v>1342.655248080961</v>
      </c>
      <c r="J89">
        <v>1342.6558453890029</v>
      </c>
      <c r="K89">
        <v>1289.0313585858589</v>
      </c>
      <c r="L89">
        <v>1345.5077587079329</v>
      </c>
      <c r="M89">
        <v>1404.6093934083719</v>
      </c>
      <c r="N89">
        <v>1352.7081169516259</v>
      </c>
      <c r="O89">
        <v>1404.514461193648</v>
      </c>
      <c r="P89">
        <v>1391.4039753280399</v>
      </c>
      <c r="Q89" s="20">
        <v>1255.408183148561</v>
      </c>
      <c r="R89" s="20">
        <v>1377.2298828124999</v>
      </c>
      <c r="S89">
        <v>1280.3616943359375</v>
      </c>
      <c r="T89">
        <v>1451.9376980866348</v>
      </c>
      <c r="U89">
        <v>1424.3611577137726</v>
      </c>
      <c r="V89">
        <v>1205.8057094568071</v>
      </c>
    </row>
    <row r="90" spans="1:25">
      <c r="A90">
        <v>76</v>
      </c>
      <c r="B90">
        <v>2.2000000000000002</v>
      </c>
      <c r="C90">
        <v>390</v>
      </c>
      <c r="D90">
        <v>57</v>
      </c>
      <c r="E90">
        <v>3.5</v>
      </c>
      <c r="F90">
        <v>420</v>
      </c>
      <c r="G90" s="20">
        <v>471.66666666666669</v>
      </c>
      <c r="H90">
        <v>-459.24348224172132</v>
      </c>
      <c r="I90">
        <v>-459.24314817744408</v>
      </c>
      <c r="J90">
        <v>-459.23339493702349</v>
      </c>
      <c r="K90">
        <v>436.56167096406227</v>
      </c>
      <c r="L90">
        <v>485.34829862862142</v>
      </c>
      <c r="M90">
        <v>471.66666666666708</v>
      </c>
      <c r="N90">
        <v>498.06125686105833</v>
      </c>
      <c r="O90">
        <v>474.61888434416443</v>
      </c>
      <c r="P90">
        <v>465.68330492264732</v>
      </c>
      <c r="Q90" s="20">
        <v>501.28497775449131</v>
      </c>
      <c r="R90" s="20">
        <v>471.658203125</v>
      </c>
      <c r="S90">
        <v>514.44587402343745</v>
      </c>
      <c r="T90">
        <v>630.72675224699651</v>
      </c>
      <c r="U90">
        <v>551.76585969620385</v>
      </c>
      <c r="V90">
        <v>480.74952114039081</v>
      </c>
      <c r="W90">
        <v>535.59849423419337</v>
      </c>
      <c r="X90">
        <v>495.21560399607881</v>
      </c>
      <c r="Y90">
        <v>412.04301906144872</v>
      </c>
    </row>
    <row r="91" spans="1:25">
      <c r="A91">
        <v>152.62860000000001</v>
      </c>
      <c r="B91">
        <v>3.1749999999999998</v>
      </c>
      <c r="C91">
        <v>415.1333358288</v>
      </c>
      <c r="D91">
        <v>20.891114558400002</v>
      </c>
      <c r="E91">
        <v>1.997004493260109</v>
      </c>
      <c r="F91">
        <v>1201.019832</v>
      </c>
      <c r="G91" s="20">
        <v>1193.8082035933051</v>
      </c>
      <c r="H91">
        <v>1654.6960889127431</v>
      </c>
      <c r="I91">
        <v>1654.696308295737</v>
      </c>
      <c r="J91">
        <v>1654.7511871217439</v>
      </c>
      <c r="K91">
        <v>1295.828961488485</v>
      </c>
      <c r="L91">
        <v>1279.6348605458491</v>
      </c>
      <c r="M91">
        <v>1278.1133905774491</v>
      </c>
      <c r="N91">
        <v>1286.991008574892</v>
      </c>
      <c r="O91">
        <v>1365.1649875888711</v>
      </c>
      <c r="P91">
        <v>1373.2405144991681</v>
      </c>
      <c r="Q91" s="20">
        <v>1286.190502296859</v>
      </c>
      <c r="R91" s="20">
        <v>1242.488500976563</v>
      </c>
      <c r="S91">
        <v>1169.6641601562501</v>
      </c>
      <c r="T91">
        <v>1350.6359884662068</v>
      </c>
      <c r="U91">
        <v>1353.6277243842815</v>
      </c>
      <c r="V91">
        <v>1206.4275806476569</v>
      </c>
      <c r="W91">
        <v>1073.3461293057981</v>
      </c>
    </row>
    <row r="92" spans="1:25">
      <c r="A92">
        <v>120</v>
      </c>
      <c r="B92">
        <v>2.5</v>
      </c>
      <c r="C92">
        <v>445.52</v>
      </c>
      <c r="D92">
        <v>94.68</v>
      </c>
      <c r="E92">
        <v>2.5</v>
      </c>
      <c r="F92">
        <v>1417.2</v>
      </c>
      <c r="G92" s="20">
        <v>1151.7706446398411</v>
      </c>
      <c r="H92">
        <v>1761.643711349788</v>
      </c>
      <c r="I92">
        <v>1761.6437405392669</v>
      </c>
      <c r="J92">
        <v>1761.628732061349</v>
      </c>
      <c r="K92">
        <v>1185.368979365079</v>
      </c>
      <c r="L92">
        <v>1436.4370945437099</v>
      </c>
      <c r="M92">
        <v>1518.5294409320391</v>
      </c>
      <c r="N92">
        <v>1528.064277357483</v>
      </c>
      <c r="O92">
        <v>1499.9823617246229</v>
      </c>
      <c r="P92">
        <v>1488.6688340160511</v>
      </c>
      <c r="Q92" s="20">
        <v>1561.757837911284</v>
      </c>
      <c r="R92" s="20">
        <v>1504.083251953125</v>
      </c>
      <c r="S92">
        <v>1350.02802734375</v>
      </c>
      <c r="T92">
        <v>1672.8083313790187</v>
      </c>
      <c r="U92">
        <v>1649.485620113099</v>
      </c>
      <c r="V92">
        <v>1401.6517016746673</v>
      </c>
    </row>
    <row r="93" spans="1:25">
      <c r="A93">
        <v>140</v>
      </c>
      <c r="B93">
        <v>5</v>
      </c>
      <c r="C93">
        <v>378.3</v>
      </c>
      <c r="D93">
        <v>34.92</v>
      </c>
      <c r="E93">
        <v>6</v>
      </c>
      <c r="F93">
        <v>1501</v>
      </c>
      <c r="G93" s="20">
        <v>1449.2839266394601</v>
      </c>
      <c r="H93">
        <v>2124.596410316562</v>
      </c>
      <c r="I93">
        <v>2124.5962855680418</v>
      </c>
      <c r="J93">
        <v>2124.535730417721</v>
      </c>
      <c r="K93">
        <v>1454.182594766274</v>
      </c>
      <c r="L93">
        <v>1432.22580670914</v>
      </c>
      <c r="M93">
        <v>1446.710548294529</v>
      </c>
      <c r="N93">
        <v>1395.0362420533579</v>
      </c>
      <c r="O93">
        <v>1415.4188519928321</v>
      </c>
      <c r="P93">
        <v>1395.2654052117041</v>
      </c>
      <c r="Q93" s="20">
        <v>1438.122149954663</v>
      </c>
      <c r="R93" s="20">
        <v>1438.460424804688</v>
      </c>
      <c r="S93">
        <v>1474.769482421875</v>
      </c>
      <c r="T93">
        <v>1537.7163606224913</v>
      </c>
      <c r="U93">
        <v>1763.0870870154536</v>
      </c>
      <c r="V93">
        <v>1567.8137865551157</v>
      </c>
      <c r="W93">
        <v>1565.3428725156855</v>
      </c>
      <c r="X93">
        <v>1354.6856570336649</v>
      </c>
      <c r="Y93">
        <v>1207.602585106298</v>
      </c>
    </row>
    <row r="94" spans="1:25">
      <c r="A94">
        <v>114</v>
      </c>
      <c r="B94">
        <v>1.79</v>
      </c>
      <c r="C94">
        <v>266</v>
      </c>
      <c r="D94">
        <v>37</v>
      </c>
      <c r="E94">
        <v>7.4561403508771926</v>
      </c>
      <c r="F94">
        <v>515</v>
      </c>
      <c r="G94" s="20">
        <v>684.59975254886444</v>
      </c>
      <c r="H94">
        <v>153.64364244257251</v>
      </c>
      <c r="I94">
        <v>153.6434285324795</v>
      </c>
      <c r="J94">
        <v>153.59489180717651</v>
      </c>
      <c r="K94">
        <v>475.47935557753527</v>
      </c>
      <c r="L94">
        <v>634.66308746845868</v>
      </c>
      <c r="M94">
        <v>712.72268806044303</v>
      </c>
      <c r="N94">
        <v>536.9302654983893</v>
      </c>
      <c r="O94">
        <v>517.97031671965385</v>
      </c>
      <c r="P94">
        <v>561.65522326873281</v>
      </c>
      <c r="Q94" s="20">
        <v>744.38128156173684</v>
      </c>
      <c r="R94" s="20">
        <v>642.560302734375</v>
      </c>
      <c r="S94">
        <v>536.92269897460938</v>
      </c>
      <c r="T94">
        <v>524.91954562001888</v>
      </c>
      <c r="U94">
        <v>626.22672050124572</v>
      </c>
      <c r="V94">
        <v>534.67297039890218</v>
      </c>
      <c r="W94">
        <v>550.30340585493275</v>
      </c>
      <c r="X94">
        <v>515.8135104028861</v>
      </c>
      <c r="Y94">
        <v>481.44853080925662</v>
      </c>
    </row>
    <row r="95" spans="1:25">
      <c r="A95">
        <v>166</v>
      </c>
      <c r="B95">
        <v>5</v>
      </c>
      <c r="C95">
        <v>274.58620000000002</v>
      </c>
      <c r="D95">
        <v>28.813899030000002</v>
      </c>
      <c r="E95">
        <v>3.975903614457831</v>
      </c>
      <c r="F95">
        <v>2029.9765559282521</v>
      </c>
      <c r="G95" s="20">
        <v>1961.33000572778</v>
      </c>
      <c r="H95">
        <v>2365.3939624938639</v>
      </c>
      <c r="I95">
        <v>2365.3940308391789</v>
      </c>
      <c r="J95">
        <v>2365.4094515457559</v>
      </c>
      <c r="K95">
        <v>1906.7645909061191</v>
      </c>
      <c r="L95">
        <v>1938.398295574443</v>
      </c>
      <c r="M95">
        <v>1945.0635908304309</v>
      </c>
      <c r="N95">
        <v>1946.8946053021571</v>
      </c>
      <c r="O95">
        <v>1915.9651633262961</v>
      </c>
      <c r="P95">
        <v>1901.9711544209399</v>
      </c>
      <c r="Q95" s="20">
        <v>1786.7855423650749</v>
      </c>
      <c r="R95" s="20">
        <v>1945.371362304687</v>
      </c>
      <c r="S95">
        <v>1887.723681640625</v>
      </c>
      <c r="T95">
        <v>1804.7347691137124</v>
      </c>
      <c r="U95">
        <v>1675.6992109586636</v>
      </c>
      <c r="V95">
        <v>1477.6876647227541</v>
      </c>
      <c r="W95">
        <v>1523.1379338125168</v>
      </c>
      <c r="X95">
        <v>1501.418336556176</v>
      </c>
      <c r="Y95">
        <v>1205.386929415351</v>
      </c>
    </row>
    <row r="96" spans="1:25">
      <c r="A96">
        <v>159.80000000000001</v>
      </c>
      <c r="B96">
        <v>5.08</v>
      </c>
      <c r="C96">
        <v>356.1</v>
      </c>
      <c r="D96">
        <v>21.9</v>
      </c>
      <c r="E96">
        <v>2.9411764705882351</v>
      </c>
      <c r="F96">
        <v>1746</v>
      </c>
      <c r="G96" s="20">
        <v>1842.9552422837071</v>
      </c>
      <c r="H96">
        <v>2287.6936309424909</v>
      </c>
      <c r="I96">
        <v>2287.693824937257</v>
      </c>
      <c r="J96">
        <v>2287.723023667108</v>
      </c>
      <c r="K96">
        <v>1962.0962780388841</v>
      </c>
      <c r="L96">
        <v>1802.254505140088</v>
      </c>
      <c r="M96">
        <v>1860.4515402663519</v>
      </c>
      <c r="N96">
        <v>1865.2332279507291</v>
      </c>
      <c r="O96">
        <v>1824.696085415887</v>
      </c>
      <c r="P96">
        <v>1781.983470408625</v>
      </c>
      <c r="Q96" s="20">
        <v>1725.605669546871</v>
      </c>
      <c r="R96" s="20">
        <v>1888.813916015625</v>
      </c>
      <c r="S96">
        <v>1992.3947509765626</v>
      </c>
      <c r="T96">
        <v>1836.5031590329388</v>
      </c>
      <c r="U96">
        <v>1809.5989612795522</v>
      </c>
      <c r="V96">
        <v>1620.9670237109983</v>
      </c>
      <c r="W96">
        <v>1519.1981403904772</v>
      </c>
      <c r="Y96">
        <v>1237.6510185477559</v>
      </c>
    </row>
    <row r="97" spans="1:25">
      <c r="A97">
        <v>108</v>
      </c>
      <c r="B97">
        <v>4</v>
      </c>
      <c r="C97">
        <v>332.02</v>
      </c>
      <c r="D97">
        <v>40.4</v>
      </c>
      <c r="E97">
        <v>5</v>
      </c>
      <c r="F97">
        <v>835.9</v>
      </c>
      <c r="G97" s="20">
        <v>831.51895161890968</v>
      </c>
      <c r="H97">
        <v>691.46152248026192</v>
      </c>
      <c r="I97">
        <v>691.46167640712611</v>
      </c>
      <c r="J97">
        <v>691.44322908172444</v>
      </c>
      <c r="K97">
        <v>850.93501057649087</v>
      </c>
      <c r="L97">
        <v>891.00112755739667</v>
      </c>
      <c r="M97">
        <v>872.12705771910498</v>
      </c>
      <c r="N97">
        <v>925.1532592509144</v>
      </c>
      <c r="O97">
        <v>948.77200256778633</v>
      </c>
      <c r="P97">
        <v>894.0757198502746</v>
      </c>
      <c r="Q97" s="20">
        <v>1037.8041233267149</v>
      </c>
      <c r="R97" s="20">
        <v>895.96453857421875</v>
      </c>
      <c r="S97">
        <v>887.771484375</v>
      </c>
      <c r="T97">
        <v>1001.6157159430711</v>
      </c>
      <c r="U97">
        <v>1020.2476658625926</v>
      </c>
      <c r="V97">
        <v>901.16625479027016</v>
      </c>
      <c r="W97">
        <v>946.75504571774809</v>
      </c>
      <c r="X97">
        <v>844.60590932374339</v>
      </c>
      <c r="Y97">
        <v>721.62888568713686</v>
      </c>
    </row>
    <row r="98" spans="1:25">
      <c r="A98">
        <v>115.9</v>
      </c>
      <c r="B98">
        <v>4.9000000000000004</v>
      </c>
      <c r="C98">
        <v>309.5</v>
      </c>
      <c r="D98">
        <v>60.75</v>
      </c>
      <c r="E98">
        <v>3.071613459879206</v>
      </c>
      <c r="F98">
        <v>1174</v>
      </c>
      <c r="G98" s="20">
        <v>1395.8798589145631</v>
      </c>
      <c r="H98">
        <v>1317.2769183491321</v>
      </c>
      <c r="I98">
        <v>1317.277242586701</v>
      </c>
      <c r="J98">
        <v>1317.289056416309</v>
      </c>
      <c r="K98">
        <v>1231.5751401412849</v>
      </c>
      <c r="L98">
        <v>1280.512952890537</v>
      </c>
      <c r="M98">
        <v>1216.1996981973191</v>
      </c>
      <c r="N98">
        <v>1292.7157633140309</v>
      </c>
      <c r="O98">
        <v>1301.295358013401</v>
      </c>
      <c r="P98">
        <v>1399.014055603199</v>
      </c>
      <c r="Q98" s="20">
        <v>1382.375588649707</v>
      </c>
      <c r="R98" s="20">
        <v>1288.364770507812</v>
      </c>
      <c r="S98">
        <v>1262.15771484375</v>
      </c>
      <c r="T98">
        <v>1447.440297481254</v>
      </c>
      <c r="U98">
        <v>1393.845799746302</v>
      </c>
      <c r="V98">
        <v>1217.9478870029184</v>
      </c>
      <c r="W98">
        <v>1311.7965815379839</v>
      </c>
      <c r="Y98">
        <v>1031.2123321243839</v>
      </c>
    </row>
    <row r="99" spans="1:25">
      <c r="A99">
        <v>114.3</v>
      </c>
      <c r="B99">
        <v>3.1</v>
      </c>
      <c r="C99">
        <v>348</v>
      </c>
      <c r="D99">
        <v>42.361163440033167</v>
      </c>
      <c r="E99">
        <v>5.8617672790901141</v>
      </c>
      <c r="F99">
        <v>910</v>
      </c>
      <c r="G99" s="20">
        <v>901</v>
      </c>
      <c r="H99">
        <v>787.13213797448248</v>
      </c>
      <c r="I99">
        <v>787.13209040973595</v>
      </c>
      <c r="J99">
        <v>787.09219415166297</v>
      </c>
      <c r="K99">
        <v>937.10195804195791</v>
      </c>
      <c r="L99">
        <v>917.47005118794118</v>
      </c>
      <c r="M99">
        <v>902.97874474706407</v>
      </c>
      <c r="N99">
        <v>911.86781128983</v>
      </c>
      <c r="O99">
        <v>909.48735039695589</v>
      </c>
      <c r="P99">
        <v>918.40492999314188</v>
      </c>
      <c r="Q99" s="20">
        <v>998.8362357050928</v>
      </c>
      <c r="R99" s="20">
        <v>902.07258300781245</v>
      </c>
      <c r="S99">
        <v>934.38937988281248</v>
      </c>
      <c r="T99">
        <v>948.99964705498428</v>
      </c>
      <c r="U99">
        <v>999.31975029187743</v>
      </c>
      <c r="V99">
        <v>874.14040658725196</v>
      </c>
      <c r="W99">
        <v>948.67940436717311</v>
      </c>
      <c r="X99">
        <v>807.24013081453677</v>
      </c>
      <c r="Y99">
        <v>724.99136625127096</v>
      </c>
    </row>
    <row r="100" spans="1:25">
      <c r="A100">
        <v>47.28</v>
      </c>
      <c r="B100">
        <v>1.87</v>
      </c>
      <c r="C100">
        <v>360</v>
      </c>
      <c r="D100">
        <v>31.68001722925047</v>
      </c>
      <c r="E100">
        <v>7.1912013536379016</v>
      </c>
      <c r="F100">
        <v>192</v>
      </c>
      <c r="G100" s="20">
        <v>190.85622541047309</v>
      </c>
      <c r="H100">
        <v>-1734.413120830133</v>
      </c>
      <c r="I100">
        <v>-1734.412960859152</v>
      </c>
      <c r="J100">
        <v>-1734.4637847421779</v>
      </c>
      <c r="K100">
        <v>189.36983216783219</v>
      </c>
      <c r="L100">
        <v>194.8425494871795</v>
      </c>
      <c r="M100">
        <v>177.48284789644009</v>
      </c>
      <c r="N100">
        <v>191.64890353116519</v>
      </c>
      <c r="O100">
        <v>191.28742223632619</v>
      </c>
      <c r="P100">
        <v>188.17332223881829</v>
      </c>
      <c r="Q100" s="20">
        <v>188.85454305904949</v>
      </c>
      <c r="R100" s="20">
        <v>179.26202392578119</v>
      </c>
      <c r="S100">
        <v>234.8524169921875</v>
      </c>
      <c r="T100">
        <v>151.11653380391854</v>
      </c>
      <c r="U100">
        <v>202.75091877053717</v>
      </c>
      <c r="V100">
        <v>180.9473558244535</v>
      </c>
      <c r="W100">
        <v>179.00184968613311</v>
      </c>
      <c r="X100">
        <v>146.47390699081879</v>
      </c>
      <c r="Y100">
        <v>135.54095147288859</v>
      </c>
    </row>
    <row r="101" spans="1:25">
      <c r="A101">
        <v>112.56</v>
      </c>
      <c r="B101">
        <v>2.89</v>
      </c>
      <c r="C101">
        <v>360</v>
      </c>
      <c r="D101">
        <v>25.924647170115811</v>
      </c>
      <c r="E101">
        <v>3.020611229566454</v>
      </c>
      <c r="F101">
        <v>745</v>
      </c>
      <c r="G101" s="20">
        <v>711.52076416996113</v>
      </c>
      <c r="H101">
        <v>259.07928814817677</v>
      </c>
      <c r="I101">
        <v>259.07963224990277</v>
      </c>
      <c r="J101">
        <v>259.12378047480689</v>
      </c>
      <c r="K101">
        <v>719.74805194805197</v>
      </c>
      <c r="L101">
        <v>716.02916510756495</v>
      </c>
      <c r="M101">
        <v>716.77326387883045</v>
      </c>
      <c r="N101">
        <v>732.80136563263602</v>
      </c>
      <c r="O101">
        <v>745.68478231527411</v>
      </c>
      <c r="P101">
        <v>735.6318398266942</v>
      </c>
      <c r="Q101" s="20">
        <v>792.51627816315727</v>
      </c>
      <c r="R101" s="20">
        <v>745.79317626953127</v>
      </c>
      <c r="S101">
        <v>787.02177734375005</v>
      </c>
      <c r="T101">
        <v>878.80968281126718</v>
      </c>
      <c r="U101">
        <v>812.8590890334666</v>
      </c>
      <c r="V101">
        <v>721.44173460165848</v>
      </c>
      <c r="W101">
        <v>718.24514521068363</v>
      </c>
      <c r="Y101">
        <v>575.052754721464</v>
      </c>
    </row>
    <row r="102" spans="1:25">
      <c r="A102">
        <v>200</v>
      </c>
      <c r="B102">
        <v>6</v>
      </c>
      <c r="C102">
        <v>451</v>
      </c>
      <c r="D102">
        <v>38</v>
      </c>
      <c r="E102">
        <v>3.4750000000000001</v>
      </c>
      <c r="F102">
        <v>3519</v>
      </c>
      <c r="G102" s="20">
        <v>3654.069358218223</v>
      </c>
      <c r="H102">
        <v>4445.5753824642252</v>
      </c>
      <c r="I102">
        <v>4445.5751856940642</v>
      </c>
      <c r="J102">
        <v>4445.5455025248903</v>
      </c>
      <c r="K102">
        <v>4168.6790439179567</v>
      </c>
      <c r="L102">
        <v>3694.7341065143069</v>
      </c>
      <c r="M102">
        <v>3477.5439180138619</v>
      </c>
      <c r="N102">
        <v>3251.6224296710629</v>
      </c>
      <c r="O102">
        <v>3437.8927751631909</v>
      </c>
      <c r="P102">
        <v>3305.7056896084232</v>
      </c>
      <c r="Q102" s="20">
        <v>3134.0971903774571</v>
      </c>
      <c r="R102" s="20">
        <v>3471.3961914062502</v>
      </c>
      <c r="S102">
        <v>3642.0513671875001</v>
      </c>
      <c r="T102">
        <v>3475.0619413303466</v>
      </c>
      <c r="U102">
        <v>3726.5876163050989</v>
      </c>
      <c r="V102">
        <v>3306.9899129088903</v>
      </c>
      <c r="W102">
        <v>3263.0206161602955</v>
      </c>
      <c r="X102">
        <v>3279.0742502407802</v>
      </c>
      <c r="Y102">
        <v>2621.886760417628</v>
      </c>
    </row>
    <row r="103" spans="1:25">
      <c r="A103">
        <v>89.32</v>
      </c>
      <c r="B103">
        <v>2.74</v>
      </c>
      <c r="C103">
        <v>360</v>
      </c>
      <c r="D103">
        <v>23.338477713828741</v>
      </c>
      <c r="E103">
        <v>3.8065382892969102</v>
      </c>
      <c r="F103">
        <v>630</v>
      </c>
      <c r="G103" s="20">
        <v>576.82097487704903</v>
      </c>
      <c r="H103">
        <v>-513.29094540724373</v>
      </c>
      <c r="I103">
        <v>-513.29055640841091</v>
      </c>
      <c r="J103">
        <v>-513.26030871068338</v>
      </c>
      <c r="K103">
        <v>569.68279720279725</v>
      </c>
      <c r="L103">
        <v>576.80240091585767</v>
      </c>
      <c r="M103">
        <v>569.44642910328037</v>
      </c>
      <c r="N103">
        <v>574.52518858855592</v>
      </c>
      <c r="O103">
        <v>580.38158678902983</v>
      </c>
      <c r="P103">
        <v>576.31019906229665</v>
      </c>
      <c r="Q103" s="20">
        <v>605.83968485501225</v>
      </c>
      <c r="R103" s="20">
        <v>578.65017089843752</v>
      </c>
      <c r="S103">
        <v>594.212646484375</v>
      </c>
      <c r="T103">
        <v>617.16150138586943</v>
      </c>
      <c r="U103">
        <v>563.49006646827877</v>
      </c>
      <c r="V103">
        <v>503.73836563936237</v>
      </c>
      <c r="W103">
        <v>485.67566945652817</v>
      </c>
      <c r="Y103">
        <v>386.66115844862873</v>
      </c>
    </row>
    <row r="104" spans="1:25">
      <c r="A104">
        <v>96</v>
      </c>
      <c r="B104">
        <v>5</v>
      </c>
      <c r="C104">
        <v>410.6</v>
      </c>
      <c r="D104">
        <v>39.53</v>
      </c>
      <c r="E104">
        <v>4.21875</v>
      </c>
      <c r="F104">
        <v>1122</v>
      </c>
      <c r="G104" s="20">
        <v>1135.0739792992599</v>
      </c>
      <c r="H104">
        <v>788.19254417944455</v>
      </c>
      <c r="I104">
        <v>788.1928502090841</v>
      </c>
      <c r="J104">
        <v>788.17189927126469</v>
      </c>
      <c r="K104">
        <v>1118.255699610143</v>
      </c>
      <c r="L104">
        <v>1133.755109366529</v>
      </c>
      <c r="M104">
        <v>1133.544159151963</v>
      </c>
      <c r="N104">
        <v>1124.7016124743041</v>
      </c>
      <c r="O104">
        <v>1132.026579122723</v>
      </c>
      <c r="P104">
        <v>1138.7472324259511</v>
      </c>
      <c r="Q104" s="20">
        <v>1061.2732404836829</v>
      </c>
      <c r="R104" s="20">
        <v>1130.6183105468749</v>
      </c>
      <c r="S104">
        <v>1180.3085693359376</v>
      </c>
      <c r="T104">
        <v>1162.4771958437075</v>
      </c>
      <c r="U104">
        <v>1180.4353125967536</v>
      </c>
      <c r="V104">
        <v>1057.032271979313</v>
      </c>
      <c r="W104">
        <v>1024.1159867054116</v>
      </c>
      <c r="X104">
        <v>965.53528219354564</v>
      </c>
      <c r="Y104">
        <v>792.9120958380164</v>
      </c>
    </row>
    <row r="105" spans="1:25">
      <c r="A105">
        <v>216.4</v>
      </c>
      <c r="B105">
        <v>6.61</v>
      </c>
      <c r="C105">
        <v>452</v>
      </c>
      <c r="D105">
        <v>24.3</v>
      </c>
      <c r="E105">
        <v>2.9990757855822552</v>
      </c>
      <c r="F105">
        <v>3568</v>
      </c>
      <c r="G105" s="20">
        <v>3832.3634065740639</v>
      </c>
      <c r="H105">
        <v>4886.9365052172143</v>
      </c>
      <c r="I105">
        <v>4886.9363459132492</v>
      </c>
      <c r="J105">
        <v>4886.9231918892983</v>
      </c>
      <c r="K105">
        <v>3953.51364708151</v>
      </c>
      <c r="L105">
        <v>3658.2213469614312</v>
      </c>
      <c r="M105">
        <v>3940.4020392929328</v>
      </c>
      <c r="N105">
        <v>3958.601579535868</v>
      </c>
      <c r="O105">
        <v>3889.3938843324581</v>
      </c>
      <c r="P105">
        <v>3752.3559634363401</v>
      </c>
      <c r="Q105" s="20">
        <v>3641.4753748330122</v>
      </c>
      <c r="R105" s="20">
        <v>3684.5958007812501</v>
      </c>
      <c r="S105">
        <v>3313.9345703125</v>
      </c>
      <c r="T105">
        <v>3706.2941229481694</v>
      </c>
      <c r="U105">
        <v>3977.8681387071456</v>
      </c>
      <c r="V105">
        <v>3570.9435181882036</v>
      </c>
      <c r="W105">
        <v>3251.7919560199939</v>
      </c>
      <c r="Y105">
        <v>2696.9470473585689</v>
      </c>
    </row>
    <row r="106" spans="1:25">
      <c r="A106">
        <v>250</v>
      </c>
      <c r="B106">
        <v>2</v>
      </c>
      <c r="C106">
        <v>404</v>
      </c>
      <c r="D106">
        <v>68.160000000000011</v>
      </c>
      <c r="E106">
        <v>3</v>
      </c>
      <c r="F106">
        <v>4550</v>
      </c>
      <c r="G106" s="20">
        <v>4426.2252423382524</v>
      </c>
      <c r="H106">
        <v>5230.2935898588285</v>
      </c>
      <c r="I106">
        <v>5230.2928994450658</v>
      </c>
      <c r="J106">
        <v>5230.2831727925204</v>
      </c>
      <c r="K106">
        <v>4542.5215282008703</v>
      </c>
      <c r="L106">
        <v>4509.2104493056468</v>
      </c>
      <c r="M106">
        <v>4399.8685436893193</v>
      </c>
      <c r="N106">
        <v>4637.6693743119249</v>
      </c>
      <c r="O106">
        <v>4532.4963187443773</v>
      </c>
      <c r="P106">
        <v>4533.9048758487816</v>
      </c>
      <c r="Q106" s="20">
        <v>4405.8168860584628</v>
      </c>
      <c r="R106" s="20">
        <v>4446.6004882812504</v>
      </c>
      <c r="S106">
        <v>4545.2077148437502</v>
      </c>
      <c r="T106">
        <v>4039.4702836807023</v>
      </c>
      <c r="U106">
        <v>4259.4175639809027</v>
      </c>
      <c r="V106">
        <v>3534.9285635608253</v>
      </c>
      <c r="W106">
        <v>3556.8534190646492</v>
      </c>
      <c r="Y106">
        <v>2833.1971235631499</v>
      </c>
    </row>
    <row r="107" spans="1:25">
      <c r="A107">
        <v>219</v>
      </c>
      <c r="B107">
        <v>4.75</v>
      </c>
      <c r="C107">
        <v>350</v>
      </c>
      <c r="D107">
        <v>34.1</v>
      </c>
      <c r="E107">
        <v>2.968036529680365</v>
      </c>
      <c r="F107">
        <v>3150</v>
      </c>
      <c r="G107" s="20">
        <v>3157.872909268619</v>
      </c>
      <c r="H107">
        <v>4263.2046291409351</v>
      </c>
      <c r="I107">
        <v>4263.2044169695027</v>
      </c>
      <c r="J107">
        <v>4263.2195123548208</v>
      </c>
      <c r="K107">
        <v>3164.9304895104901</v>
      </c>
      <c r="L107">
        <v>3075.2654038770129</v>
      </c>
      <c r="M107">
        <v>3117.7167003031232</v>
      </c>
      <c r="N107">
        <v>2906.1068409477002</v>
      </c>
      <c r="O107">
        <v>3078.401075030476</v>
      </c>
      <c r="P107">
        <v>3024.3437982065302</v>
      </c>
      <c r="Q107" s="20">
        <v>3103.3493773785658</v>
      </c>
      <c r="R107" s="20">
        <v>3218.1515136718749</v>
      </c>
      <c r="S107">
        <v>3106.1205078124999</v>
      </c>
      <c r="T107">
        <v>2928.4120686262186</v>
      </c>
      <c r="U107">
        <v>2988.261549629613</v>
      </c>
      <c r="V107">
        <v>2613.7448213624366</v>
      </c>
      <c r="W107">
        <v>2681.1898137664275</v>
      </c>
      <c r="X107">
        <v>2800.3750366395129</v>
      </c>
      <c r="Y107">
        <v>2219.478720939213</v>
      </c>
    </row>
    <row r="108" spans="1:25">
      <c r="A108">
        <v>168.8</v>
      </c>
      <c r="B108">
        <v>5</v>
      </c>
      <c r="C108">
        <v>200.2</v>
      </c>
      <c r="D108">
        <v>33.4</v>
      </c>
      <c r="E108">
        <v>1.8068720379146921</v>
      </c>
      <c r="F108">
        <v>1970</v>
      </c>
      <c r="G108" s="20">
        <v>1892.0979945173449</v>
      </c>
      <c r="H108">
        <v>2130.420034632135</v>
      </c>
      <c r="I108">
        <v>2130.4203883733012</v>
      </c>
      <c r="J108">
        <v>2130.5032184684292</v>
      </c>
      <c r="K108">
        <v>1994.980641336839</v>
      </c>
      <c r="L108">
        <v>1840.3431021124179</v>
      </c>
      <c r="M108">
        <v>1901.122549970554</v>
      </c>
      <c r="N108">
        <v>1750.9328706386559</v>
      </c>
      <c r="O108">
        <v>1825.935348942359</v>
      </c>
      <c r="P108">
        <v>1696.761477055406</v>
      </c>
      <c r="Q108" s="20">
        <v>1771.6310627749799</v>
      </c>
      <c r="R108" s="20">
        <v>1816.0916015625</v>
      </c>
      <c r="S108">
        <v>1619.022216796875</v>
      </c>
      <c r="T108">
        <v>1903.6709490293961</v>
      </c>
      <c r="U108">
        <v>1495.9855181031096</v>
      </c>
      <c r="V108">
        <v>1298.5673642456054</v>
      </c>
      <c r="W108">
        <v>1420.7218933340121</v>
      </c>
      <c r="Y108">
        <v>1141.3971219757409</v>
      </c>
    </row>
    <row r="109" spans="1:25">
      <c r="A109">
        <v>57.15</v>
      </c>
      <c r="B109">
        <v>2</v>
      </c>
      <c r="C109">
        <v>250</v>
      </c>
      <c r="D109">
        <v>48.56</v>
      </c>
      <c r="E109">
        <v>6.1242344706911638</v>
      </c>
      <c r="F109">
        <v>190.33</v>
      </c>
      <c r="G109" s="20">
        <v>172.72737921080241</v>
      </c>
      <c r="H109">
        <v>-1557.0804004497741</v>
      </c>
      <c r="I109">
        <v>-1557.0801396242241</v>
      </c>
      <c r="J109">
        <v>-1557.0951304586031</v>
      </c>
      <c r="K109">
        <v>229.88124999999999</v>
      </c>
      <c r="L109">
        <v>198.94348717948671</v>
      </c>
      <c r="M109">
        <v>181.37325889967639</v>
      </c>
      <c r="N109">
        <v>208.661551980056</v>
      </c>
      <c r="O109">
        <v>194.94779630883221</v>
      </c>
      <c r="P109">
        <v>199.06105812114521</v>
      </c>
      <c r="Q109" s="20">
        <v>190.79803766790761</v>
      </c>
      <c r="R109" s="20">
        <v>189.30229187011719</v>
      </c>
      <c r="S109">
        <v>142.9598388671875</v>
      </c>
      <c r="T109">
        <v>236.60730281671914</v>
      </c>
      <c r="U109">
        <v>248.07919130857715</v>
      </c>
      <c r="V109">
        <v>215.46966265719834</v>
      </c>
      <c r="W109">
        <v>240.55021922737885</v>
      </c>
      <c r="X109">
        <v>204.7240892168021</v>
      </c>
      <c r="Y109">
        <v>184.07999832453461</v>
      </c>
    </row>
    <row r="110" spans="1:25">
      <c r="A110">
        <v>169</v>
      </c>
      <c r="B110">
        <v>7.5</v>
      </c>
      <c r="C110">
        <v>360</v>
      </c>
      <c r="D110">
        <v>70.8</v>
      </c>
      <c r="E110">
        <v>4.0828402366863914</v>
      </c>
      <c r="F110">
        <v>3080</v>
      </c>
      <c r="G110" s="20">
        <v>3996.251037398235</v>
      </c>
      <c r="H110">
        <v>4133.1213036537974</v>
      </c>
      <c r="I110">
        <v>4133.1212378021619</v>
      </c>
      <c r="J110">
        <v>4133.0635529429819</v>
      </c>
      <c r="K110">
        <v>3501.0181557230958</v>
      </c>
      <c r="L110">
        <v>3681.8001275775518</v>
      </c>
      <c r="M110">
        <v>3986.2445144888252</v>
      </c>
      <c r="N110">
        <v>3824.248304435378</v>
      </c>
      <c r="O110">
        <v>4013.4363802837379</v>
      </c>
      <c r="P110">
        <v>3835.9124985760031</v>
      </c>
      <c r="Q110" s="20">
        <v>3671.055273884806</v>
      </c>
      <c r="R110" s="20">
        <v>3963.5779785156251</v>
      </c>
      <c r="S110">
        <v>3882.83251953125</v>
      </c>
      <c r="T110">
        <v>3519.4311480588831</v>
      </c>
      <c r="U110">
        <v>3537.9805933823627</v>
      </c>
      <c r="V110">
        <v>3096.1295527163838</v>
      </c>
      <c r="W110">
        <v>3243.4574088020045</v>
      </c>
    </row>
    <row r="111" spans="1:25">
      <c r="A111">
        <v>250</v>
      </c>
      <c r="B111">
        <v>2</v>
      </c>
      <c r="C111">
        <v>404</v>
      </c>
      <c r="D111">
        <v>68.160000000000011</v>
      </c>
      <c r="E111">
        <v>3</v>
      </c>
      <c r="F111">
        <v>4442</v>
      </c>
      <c r="G111" s="20">
        <v>4426.2252423382524</v>
      </c>
      <c r="H111">
        <v>5230.2935898588285</v>
      </c>
      <c r="I111">
        <v>5230.2928994450658</v>
      </c>
      <c r="J111">
        <v>5230.2831727925204</v>
      </c>
      <c r="K111">
        <v>4542.5215282008703</v>
      </c>
      <c r="L111">
        <v>4509.2104493056468</v>
      </c>
      <c r="M111">
        <v>4399.8685436893193</v>
      </c>
      <c r="N111">
        <v>4637.6693743119249</v>
      </c>
      <c r="O111">
        <v>4532.4963187443773</v>
      </c>
      <c r="P111">
        <v>4533.9048758487816</v>
      </c>
      <c r="Q111" s="20">
        <v>4405.8168860584628</v>
      </c>
      <c r="R111" s="20">
        <v>4446.6004882812504</v>
      </c>
      <c r="S111">
        <v>4545.2077148437502</v>
      </c>
      <c r="T111">
        <v>4039.4702836807023</v>
      </c>
      <c r="U111">
        <v>4259.4175639809027</v>
      </c>
      <c r="V111">
        <v>3534.9285635608253</v>
      </c>
      <c r="W111">
        <v>3556.8534190646492</v>
      </c>
      <c r="Y111">
        <v>2833.1971235631499</v>
      </c>
    </row>
    <row r="112" spans="1:25">
      <c r="A112">
        <v>47.28</v>
      </c>
      <c r="B112">
        <v>1.87</v>
      </c>
      <c r="C112">
        <v>360</v>
      </c>
      <c r="D112">
        <v>33.257864674434238</v>
      </c>
      <c r="E112">
        <v>7.1912013536379016</v>
      </c>
      <c r="F112">
        <v>156</v>
      </c>
      <c r="G112" s="20">
        <v>190.9207490188094</v>
      </c>
      <c r="H112">
        <v>-1708.8191653725719</v>
      </c>
      <c r="I112">
        <v>-1708.8190111116301</v>
      </c>
      <c r="J112">
        <v>-1708.8710990845329</v>
      </c>
      <c r="K112">
        <v>177.30823901098901</v>
      </c>
      <c r="L112">
        <v>197.68549788461539</v>
      </c>
      <c r="M112">
        <v>189.98834951456311</v>
      </c>
      <c r="N112">
        <v>195.06324078164079</v>
      </c>
      <c r="O112">
        <v>198.51370393422869</v>
      </c>
      <c r="P112">
        <v>202.05421813514181</v>
      </c>
      <c r="Q112" s="20">
        <v>195.7878871419808</v>
      </c>
      <c r="R112" s="20">
        <v>184.6512359619141</v>
      </c>
      <c r="S112">
        <v>238.86965026855469</v>
      </c>
      <c r="T112">
        <v>148.93335366600587</v>
      </c>
      <c r="U112">
        <v>205.10018232756585</v>
      </c>
      <c r="V112">
        <v>182.82676667007647</v>
      </c>
      <c r="W112">
        <v>182.39233258582658</v>
      </c>
      <c r="X112">
        <v>148.48414188478179</v>
      </c>
      <c r="Y112">
        <v>137.63556075776219</v>
      </c>
    </row>
    <row r="113" spans="1:25">
      <c r="A113">
        <v>1020</v>
      </c>
      <c r="B113">
        <v>9.64</v>
      </c>
      <c r="C113">
        <v>336</v>
      </c>
      <c r="D113">
        <v>16.899999999999999</v>
      </c>
      <c r="E113">
        <v>3</v>
      </c>
      <c r="F113">
        <v>30000</v>
      </c>
      <c r="G113" s="20">
        <v>32185.97160695343</v>
      </c>
      <c r="H113">
        <v>30836.90172615906</v>
      </c>
      <c r="I113">
        <v>30836.897094564789</v>
      </c>
      <c r="J113">
        <v>30836.795485234281</v>
      </c>
      <c r="K113">
        <v>25033.833333333328</v>
      </c>
      <c r="L113">
        <v>32527.008125</v>
      </c>
      <c r="M113">
        <v>37222.938349514559</v>
      </c>
      <c r="N113">
        <v>19448.199923034641</v>
      </c>
      <c r="O113">
        <v>28544.103565759629</v>
      </c>
      <c r="P113">
        <v>26148.736961341969</v>
      </c>
      <c r="Q113" s="20">
        <v>30600.000000000011</v>
      </c>
      <c r="R113" s="20">
        <v>29578.793750000001</v>
      </c>
      <c r="S113">
        <v>33978.628125000003</v>
      </c>
      <c r="T113">
        <v>29490.554511120201</v>
      </c>
      <c r="U113">
        <v>29947.836558440595</v>
      </c>
      <c r="V113">
        <v>26035.705768106909</v>
      </c>
      <c r="W113">
        <v>23372.635819659008</v>
      </c>
    </row>
    <row r="114" spans="1:25">
      <c r="A114">
        <v>76.5</v>
      </c>
      <c r="B114">
        <v>1.7</v>
      </c>
      <c r="C114">
        <v>361.6</v>
      </c>
      <c r="D114">
        <v>24.37</v>
      </c>
      <c r="E114">
        <v>2</v>
      </c>
      <c r="F114">
        <v>344</v>
      </c>
      <c r="G114" s="20">
        <v>404.97212959607413</v>
      </c>
      <c r="H114">
        <v>-1307.800621913507</v>
      </c>
      <c r="I114">
        <v>-1307.799993482349</v>
      </c>
      <c r="J114">
        <v>-1307.716416834483</v>
      </c>
      <c r="K114">
        <v>419.37136420393529</v>
      </c>
      <c r="L114">
        <v>399.58248493397741</v>
      </c>
      <c r="M114">
        <v>399.7672418100002</v>
      </c>
      <c r="N114">
        <v>396.80177747579972</v>
      </c>
      <c r="O114">
        <v>401.87847279634121</v>
      </c>
      <c r="P114">
        <v>387.05476589595793</v>
      </c>
      <c r="Q114" s="20">
        <v>413.22456065147458</v>
      </c>
      <c r="R114" s="20">
        <v>372.190185546875</v>
      </c>
      <c r="S114">
        <v>354.7342468261719</v>
      </c>
      <c r="T114">
        <v>423.54055940888321</v>
      </c>
      <c r="U114">
        <v>336.29258559438119</v>
      </c>
      <c r="V114">
        <v>297.82161245174103</v>
      </c>
      <c r="W114">
        <v>297.4288073930706</v>
      </c>
      <c r="Y114">
        <v>240.88509445563659</v>
      </c>
    </row>
    <row r="115" spans="1:25">
      <c r="A115">
        <v>114.3</v>
      </c>
      <c r="B115">
        <v>3.35</v>
      </c>
      <c r="C115">
        <v>287.33</v>
      </c>
      <c r="D115">
        <v>55.021479750811103</v>
      </c>
      <c r="E115">
        <v>7</v>
      </c>
      <c r="F115">
        <v>868.5</v>
      </c>
      <c r="G115" s="20">
        <v>823.59681554370366</v>
      </c>
      <c r="H115">
        <v>929.80283160405975</v>
      </c>
      <c r="I115">
        <v>929.80266054405945</v>
      </c>
      <c r="J115">
        <v>929.7355948192162</v>
      </c>
      <c r="K115">
        <v>796.1101185301444</v>
      </c>
      <c r="L115">
        <v>870.49878895288509</v>
      </c>
      <c r="M115">
        <v>877.83247323081355</v>
      </c>
      <c r="N115">
        <v>903.71802681365443</v>
      </c>
      <c r="O115">
        <v>907.51439863266819</v>
      </c>
      <c r="P115">
        <v>845.42201040126497</v>
      </c>
      <c r="Q115" s="20">
        <v>1047.3155011836329</v>
      </c>
      <c r="R115" s="20">
        <v>913.62644042968748</v>
      </c>
      <c r="S115">
        <v>890.66347656250002</v>
      </c>
      <c r="T115">
        <v>918.97490050755152</v>
      </c>
      <c r="U115">
        <v>1043.8417067341397</v>
      </c>
      <c r="V115">
        <v>901.39014867310084</v>
      </c>
      <c r="W115">
        <v>1021.2172390142316</v>
      </c>
      <c r="X115">
        <v>834.20757312247463</v>
      </c>
      <c r="Y115">
        <v>778.49602557008325</v>
      </c>
    </row>
    <row r="116" spans="1:25">
      <c r="A116">
        <v>219.1</v>
      </c>
      <c r="B116">
        <v>5</v>
      </c>
      <c r="C116">
        <v>380</v>
      </c>
      <c r="D116">
        <v>187.501</v>
      </c>
      <c r="E116">
        <v>2.7384755819260609</v>
      </c>
      <c r="F116">
        <v>8664</v>
      </c>
      <c r="G116" s="20">
        <v>7734.8965592878249</v>
      </c>
      <c r="H116">
        <v>6911.2128960473074</v>
      </c>
      <c r="I116">
        <v>6911.2121437474634</v>
      </c>
      <c r="J116">
        <v>6911.1017209912679</v>
      </c>
      <c r="K116">
        <v>6823.5411111111116</v>
      </c>
      <c r="L116">
        <v>7160.3455332576796</v>
      </c>
      <c r="M116">
        <v>7497.7895145631073</v>
      </c>
      <c r="N116">
        <v>6799.6017444231547</v>
      </c>
      <c r="O116">
        <v>7467.572492479022</v>
      </c>
      <c r="P116">
        <v>7396.7326523501451</v>
      </c>
      <c r="Q116" s="20">
        <v>7014.674350646007</v>
      </c>
      <c r="R116" s="20">
        <v>7526.5221679687502</v>
      </c>
      <c r="S116">
        <v>7623.3405273437502</v>
      </c>
      <c r="T116">
        <v>7925.350577702322</v>
      </c>
      <c r="U116">
        <v>8279.024195720056</v>
      </c>
      <c r="V116">
        <v>7061.7551767497453</v>
      </c>
    </row>
    <row r="117" spans="1:25">
      <c r="A117">
        <v>89.32</v>
      </c>
      <c r="B117">
        <v>2.74</v>
      </c>
      <c r="C117">
        <v>360</v>
      </c>
      <c r="D117">
        <v>22.309379285694259</v>
      </c>
      <c r="E117">
        <v>3.8065382892969102</v>
      </c>
      <c r="F117">
        <v>524</v>
      </c>
      <c r="G117" s="20">
        <v>582.02850618555317</v>
      </c>
      <c r="H117">
        <v>-529.98375015938711</v>
      </c>
      <c r="I117">
        <v>-529.98335743637119</v>
      </c>
      <c r="J117">
        <v>-529.95228527813538</v>
      </c>
      <c r="K117">
        <v>569.68279720279725</v>
      </c>
      <c r="L117">
        <v>575.01200347996019</v>
      </c>
      <c r="M117">
        <v>575.12312813240658</v>
      </c>
      <c r="N117">
        <v>562.73619933438044</v>
      </c>
      <c r="O117">
        <v>565.86713398563438</v>
      </c>
      <c r="P117">
        <v>568.60895786947378</v>
      </c>
      <c r="Q117" s="20">
        <v>605.11413867730937</v>
      </c>
      <c r="R117" s="20">
        <v>561.609375</v>
      </c>
      <c r="S117">
        <v>588.75942382812502</v>
      </c>
      <c r="T117">
        <v>610.14870175880469</v>
      </c>
      <c r="U117">
        <v>557.80874537045418</v>
      </c>
      <c r="V117">
        <v>499.19330876110274</v>
      </c>
      <c r="W117">
        <v>477.29711029149104</v>
      </c>
      <c r="Y117">
        <v>381.35335360988108</v>
      </c>
    </row>
    <row r="118" spans="1:25">
      <c r="A118">
        <v>100</v>
      </c>
      <c r="B118">
        <v>2.5</v>
      </c>
      <c r="C118">
        <v>433.2</v>
      </c>
      <c r="D118">
        <v>45.77</v>
      </c>
      <c r="E118">
        <v>6</v>
      </c>
      <c r="F118">
        <v>750</v>
      </c>
      <c r="G118" s="20">
        <v>959.81918341968105</v>
      </c>
      <c r="H118">
        <v>520.99610928602465</v>
      </c>
      <c r="I118">
        <v>520.99602274320512</v>
      </c>
      <c r="J118">
        <v>520.93686777815572</v>
      </c>
      <c r="K118">
        <v>792.38349450549447</v>
      </c>
      <c r="L118">
        <v>780.74946980649599</v>
      </c>
      <c r="M118">
        <v>747.51749362858004</v>
      </c>
      <c r="N118">
        <v>882.59094904136748</v>
      </c>
      <c r="O118">
        <v>828.09457512515144</v>
      </c>
      <c r="P118">
        <v>777.3386371725494</v>
      </c>
      <c r="Q118" s="20">
        <v>837.10814662722828</v>
      </c>
      <c r="R118" s="20">
        <v>845.17547607421875</v>
      </c>
      <c r="S118">
        <v>898.39511718749998</v>
      </c>
      <c r="T118">
        <v>834.36589671550973</v>
      </c>
      <c r="U118">
        <v>861.8281253809505</v>
      </c>
      <c r="V118">
        <v>755.3624047640817</v>
      </c>
      <c r="W118">
        <v>812.48593902683444</v>
      </c>
      <c r="X118">
        <v>675.27790115686332</v>
      </c>
      <c r="Y118">
        <v>617.71866660792557</v>
      </c>
    </row>
    <row r="119" spans="1:25">
      <c r="A119">
        <v>108</v>
      </c>
      <c r="B119">
        <v>4</v>
      </c>
      <c r="C119">
        <v>338.9</v>
      </c>
      <c r="D119">
        <v>18.24227097707757</v>
      </c>
      <c r="E119">
        <v>3</v>
      </c>
      <c r="F119">
        <v>1117</v>
      </c>
      <c r="G119" s="20">
        <v>1059.075338046764</v>
      </c>
      <c r="H119">
        <v>222.61156721482379</v>
      </c>
      <c r="I119">
        <v>222.6120359830183</v>
      </c>
      <c r="J119">
        <v>222.66040304632651</v>
      </c>
      <c r="K119">
        <v>1004.734370758938</v>
      </c>
      <c r="L119">
        <v>1040.4971483942099</v>
      </c>
      <c r="M119">
        <v>1058.426439357823</v>
      </c>
      <c r="N119">
        <v>991.71446496460158</v>
      </c>
      <c r="O119">
        <v>1031.691045873509</v>
      </c>
      <c r="P119">
        <v>989.89483874823259</v>
      </c>
      <c r="Q119" s="20">
        <v>943.71241716489271</v>
      </c>
      <c r="R119" s="20">
        <v>1051.888732910156</v>
      </c>
      <c r="S119">
        <v>914.32878417968755</v>
      </c>
      <c r="T119">
        <v>929.60804269168182</v>
      </c>
      <c r="U119">
        <v>860.78748205919442</v>
      </c>
      <c r="V119">
        <v>775.35878686341596</v>
      </c>
      <c r="W119">
        <v>707.83683080308924</v>
      </c>
    </row>
    <row r="120" spans="1:25">
      <c r="A120">
        <v>200</v>
      </c>
      <c r="B120">
        <v>6</v>
      </c>
      <c r="C120">
        <v>451</v>
      </c>
      <c r="D120">
        <v>112.1</v>
      </c>
      <c r="E120">
        <v>3.4750000000000001</v>
      </c>
      <c r="F120">
        <v>5071</v>
      </c>
      <c r="G120" s="20">
        <v>5069.5</v>
      </c>
      <c r="H120">
        <v>5647.5370202602307</v>
      </c>
      <c r="I120">
        <v>5647.5365553311076</v>
      </c>
      <c r="J120">
        <v>5647.447507069176</v>
      </c>
      <c r="K120">
        <v>4378.8676153465294</v>
      </c>
      <c r="L120">
        <v>4948.1935869523732</v>
      </c>
      <c r="M120">
        <v>5069.5</v>
      </c>
      <c r="N120">
        <v>5149.0477648339966</v>
      </c>
      <c r="O120">
        <v>5096.2503741391374</v>
      </c>
      <c r="P120">
        <v>5159.338624079739</v>
      </c>
      <c r="Q120" s="20">
        <v>4786.9204319365208</v>
      </c>
      <c r="R120" s="20">
        <v>5071.3013671874996</v>
      </c>
      <c r="S120">
        <v>5129.4669921875002</v>
      </c>
      <c r="T120">
        <v>5517.9054613249518</v>
      </c>
      <c r="U120">
        <v>5486.6777181768075</v>
      </c>
      <c r="V120">
        <v>4952.5501130013299</v>
      </c>
    </row>
    <row r="121" spans="1:25">
      <c r="A121">
        <v>250</v>
      </c>
      <c r="B121">
        <v>7</v>
      </c>
      <c r="C121">
        <v>243</v>
      </c>
      <c r="D121">
        <v>46.57</v>
      </c>
      <c r="E121">
        <v>5.92</v>
      </c>
      <c r="F121">
        <v>4116</v>
      </c>
      <c r="G121" s="20">
        <v>2879.2616579945452</v>
      </c>
      <c r="H121">
        <v>5906.9135730691823</v>
      </c>
      <c r="I121">
        <v>5906.9129662055166</v>
      </c>
      <c r="J121">
        <v>5906.8477481035616</v>
      </c>
      <c r="K121">
        <v>4953.3115792805311</v>
      </c>
      <c r="L121">
        <v>4970.5718680146911</v>
      </c>
      <c r="M121">
        <v>4507.1859982843471</v>
      </c>
      <c r="N121">
        <v>4794.8944465565646</v>
      </c>
      <c r="O121">
        <v>4707.298819204344</v>
      </c>
      <c r="P121">
        <v>4095.5059875298948</v>
      </c>
      <c r="Q121" s="20">
        <v>5132.204212188878</v>
      </c>
      <c r="R121" s="20">
        <v>4304.8901855468748</v>
      </c>
      <c r="S121">
        <v>3771.0095703124998</v>
      </c>
      <c r="T121">
        <v>3857.8445445206235</v>
      </c>
      <c r="U121">
        <v>4140.7961147614506</v>
      </c>
      <c r="V121">
        <v>3569.7061254157238</v>
      </c>
      <c r="W121">
        <v>3862.5913390402507</v>
      </c>
      <c r="X121">
        <v>3508.3027090898299</v>
      </c>
      <c r="Y121">
        <v>3151.7819203571289</v>
      </c>
    </row>
    <row r="122" spans="1:25">
      <c r="A122">
        <v>239</v>
      </c>
      <c r="B122">
        <v>4.54</v>
      </c>
      <c r="C122">
        <v>507</v>
      </c>
      <c r="D122">
        <v>25.4</v>
      </c>
      <c r="E122">
        <v>3</v>
      </c>
      <c r="F122">
        <v>3035</v>
      </c>
      <c r="G122" s="20">
        <v>3693.8268656657419</v>
      </c>
      <c r="H122">
        <v>5240.9990057465193</v>
      </c>
      <c r="I122">
        <v>5240.9985711355603</v>
      </c>
      <c r="J122">
        <v>5240.9838722780678</v>
      </c>
      <c r="K122">
        <v>4058.4817408311942</v>
      </c>
      <c r="L122">
        <v>3828.5373033170881</v>
      </c>
      <c r="M122">
        <v>3584.843689320388</v>
      </c>
      <c r="N122">
        <v>3374.3357180824091</v>
      </c>
      <c r="O122">
        <v>3400.9528909830201</v>
      </c>
      <c r="P122">
        <v>3526.3607236391399</v>
      </c>
      <c r="Q122" s="20">
        <v>3480.9022678829851</v>
      </c>
      <c r="R122" s="20">
        <v>3419.4770996093748</v>
      </c>
      <c r="S122">
        <v>3182.7786621093751</v>
      </c>
      <c r="T122">
        <v>3507.3475036451177</v>
      </c>
      <c r="U122">
        <v>3631.6430176740996</v>
      </c>
      <c r="V122">
        <v>3380.0461078680578</v>
      </c>
      <c r="W122">
        <v>2975.827483941081</v>
      </c>
      <c r="Y122">
        <v>2674.013598629786</v>
      </c>
    </row>
    <row r="123" spans="1:25">
      <c r="A123">
        <v>250</v>
      </c>
      <c r="B123">
        <v>1.87</v>
      </c>
      <c r="C123">
        <v>282</v>
      </c>
      <c r="D123">
        <v>68.160000000000011</v>
      </c>
      <c r="E123">
        <v>3</v>
      </c>
      <c r="F123">
        <v>3950</v>
      </c>
      <c r="G123" s="20">
        <v>3732.55</v>
      </c>
      <c r="H123">
        <v>4776.994917402415</v>
      </c>
      <c r="I123">
        <v>4776.9943163791886</v>
      </c>
      <c r="J123">
        <v>4777.0126510747205</v>
      </c>
      <c r="K123">
        <v>4485.0358139151558</v>
      </c>
      <c r="L123">
        <v>4345.2945727214446</v>
      </c>
      <c r="M123">
        <v>4156.8137540453072</v>
      </c>
      <c r="N123">
        <v>4405.5725671785631</v>
      </c>
      <c r="O123">
        <v>4150.0113213494988</v>
      </c>
      <c r="P123">
        <v>4170.7737481238764</v>
      </c>
      <c r="Q123" s="20">
        <v>4266.8198313536504</v>
      </c>
      <c r="R123" s="20">
        <v>4101.2990234375002</v>
      </c>
      <c r="S123">
        <v>3638.0215332031248</v>
      </c>
      <c r="T123">
        <v>3730.4792164222977</v>
      </c>
      <c r="U123">
        <v>3912.3784053283916</v>
      </c>
      <c r="V123">
        <v>3213.1346645728413</v>
      </c>
      <c r="Y123">
        <v>2713.549394880718</v>
      </c>
    </row>
    <row r="124" spans="1:25">
      <c r="A124">
        <v>165</v>
      </c>
      <c r="B124">
        <v>1</v>
      </c>
      <c r="C124">
        <v>338</v>
      </c>
      <c r="D124">
        <v>49.777395755965507</v>
      </c>
      <c r="E124">
        <v>3.0303030303030298</v>
      </c>
      <c r="F124">
        <v>1430</v>
      </c>
      <c r="G124" s="20">
        <v>1728.0666666666671</v>
      </c>
      <c r="H124">
        <v>1720.85590385149</v>
      </c>
      <c r="I124">
        <v>1720.8557821254501</v>
      </c>
      <c r="J124">
        <v>1720.8921439550261</v>
      </c>
      <c r="K124">
        <v>1992.710904650904</v>
      </c>
      <c r="L124">
        <v>1771.389874924171</v>
      </c>
      <c r="M124">
        <v>1731.2137552900181</v>
      </c>
      <c r="N124">
        <v>1746.4692199849169</v>
      </c>
      <c r="O124">
        <v>1724.513600088686</v>
      </c>
      <c r="P124">
        <v>1735.7598113367951</v>
      </c>
      <c r="Q124" s="20">
        <v>1795.2072564957041</v>
      </c>
      <c r="R124" s="20">
        <v>1706.964428710937</v>
      </c>
      <c r="S124">
        <v>1831.248974609375</v>
      </c>
      <c r="T124">
        <v>1592.2376685186712</v>
      </c>
      <c r="U124">
        <v>1320.8315707709603</v>
      </c>
      <c r="V124">
        <v>1091.9763325244624</v>
      </c>
      <c r="Y124">
        <v>880.16539611456244</v>
      </c>
    </row>
    <row r="125" spans="1:25">
      <c r="A125">
        <v>111.64</v>
      </c>
      <c r="B125">
        <v>1.9</v>
      </c>
      <c r="C125">
        <v>261.3</v>
      </c>
      <c r="D125">
        <v>38.24</v>
      </c>
      <c r="E125">
        <v>3.582945180938732</v>
      </c>
      <c r="F125">
        <v>666.6</v>
      </c>
      <c r="G125" s="20">
        <v>706.03732394570966</v>
      </c>
      <c r="H125">
        <v>-144.6558410754055</v>
      </c>
      <c r="I125">
        <v>-144.655572002225</v>
      </c>
      <c r="J125">
        <v>-144.60654879914651</v>
      </c>
      <c r="K125">
        <v>610.88524675324675</v>
      </c>
      <c r="L125">
        <v>695.36912692930127</v>
      </c>
      <c r="M125">
        <v>708.74458097433012</v>
      </c>
      <c r="N125">
        <v>658.70646397118639</v>
      </c>
      <c r="O125">
        <v>636.22623493049946</v>
      </c>
      <c r="P125">
        <v>617.55765964204784</v>
      </c>
      <c r="Q125" s="20">
        <v>787.84165062087527</v>
      </c>
      <c r="R125" s="20">
        <v>699.22762451171877</v>
      </c>
      <c r="S125">
        <v>772.48244628906252</v>
      </c>
      <c r="T125">
        <v>750.37822880860131</v>
      </c>
      <c r="U125">
        <v>626.55776847862171</v>
      </c>
      <c r="V125">
        <v>535.55391497557127</v>
      </c>
      <c r="W125">
        <v>550.0912311575687</v>
      </c>
      <c r="X125">
        <v>587.39736710350985</v>
      </c>
      <c r="Y125">
        <v>497.68435561954283</v>
      </c>
    </row>
    <row r="126" spans="1:25">
      <c r="A126">
        <v>114.3</v>
      </c>
      <c r="B126">
        <v>3.35</v>
      </c>
      <c r="C126">
        <v>287.33</v>
      </c>
      <c r="D126">
        <v>58.68</v>
      </c>
      <c r="E126">
        <v>3.00087489063867</v>
      </c>
      <c r="F126">
        <v>952</v>
      </c>
      <c r="G126" s="20">
        <v>1094.837390370441</v>
      </c>
      <c r="H126">
        <v>723.26833662549075</v>
      </c>
      <c r="I126">
        <v>723.26863228768116</v>
      </c>
      <c r="J126">
        <v>723.29980195502947</v>
      </c>
      <c r="K126">
        <v>919.44450546797907</v>
      </c>
      <c r="L126">
        <v>965.68737737908782</v>
      </c>
      <c r="M126">
        <v>959.0550159102188</v>
      </c>
      <c r="N126">
        <v>978.94007463414982</v>
      </c>
      <c r="O126">
        <v>978.42469836176747</v>
      </c>
      <c r="P126">
        <v>1017.943686235344</v>
      </c>
      <c r="Q126" s="20">
        <v>1064.4037687176001</v>
      </c>
      <c r="R126" s="20">
        <v>956.1981201171875</v>
      </c>
      <c r="S126">
        <v>1071.4111328125</v>
      </c>
      <c r="T126">
        <v>1170.1863822021621</v>
      </c>
      <c r="U126">
        <v>1077.109185407259</v>
      </c>
      <c r="V126">
        <v>928.00413161159634</v>
      </c>
      <c r="Y126">
        <v>835.96860514383786</v>
      </c>
    </row>
    <row r="127" spans="1:25">
      <c r="A127">
        <v>153</v>
      </c>
      <c r="B127">
        <v>1.54</v>
      </c>
      <c r="C127">
        <v>345</v>
      </c>
      <c r="D127">
        <v>73.2</v>
      </c>
      <c r="E127">
        <v>2</v>
      </c>
      <c r="F127">
        <v>1823</v>
      </c>
      <c r="G127" s="20">
        <v>1897.676121609775</v>
      </c>
      <c r="H127">
        <v>1822.942655532825</v>
      </c>
      <c r="I127">
        <v>1822.942662683306</v>
      </c>
      <c r="J127">
        <v>1822.982491083729</v>
      </c>
      <c r="K127">
        <v>2024.015586481074</v>
      </c>
      <c r="L127">
        <v>1918.301040199736</v>
      </c>
      <c r="M127">
        <v>1869.187414624595</v>
      </c>
      <c r="N127">
        <v>1754.6494228213801</v>
      </c>
      <c r="O127">
        <v>1817.1418408481229</v>
      </c>
      <c r="P127">
        <v>1744.0302205394501</v>
      </c>
      <c r="Q127" s="20">
        <v>1913.746648626555</v>
      </c>
      <c r="R127" s="20">
        <v>1852.2923828124999</v>
      </c>
      <c r="S127">
        <v>1662.2260986328124</v>
      </c>
      <c r="T127">
        <v>1872.9624782272008</v>
      </c>
      <c r="U127">
        <v>1701.7173245044639</v>
      </c>
      <c r="V127">
        <v>1412.4237766733079</v>
      </c>
    </row>
    <row r="128" spans="1:25">
      <c r="A128">
        <v>133</v>
      </c>
      <c r="B128">
        <v>4.7</v>
      </c>
      <c r="C128">
        <v>352</v>
      </c>
      <c r="D128">
        <v>67.760000000000005</v>
      </c>
      <c r="E128">
        <v>3.496240601503759</v>
      </c>
      <c r="F128">
        <v>2158</v>
      </c>
      <c r="G128" s="20">
        <v>2184.0115759120908</v>
      </c>
      <c r="H128">
        <v>2094.6122743265068</v>
      </c>
      <c r="I128">
        <v>2094.612379179498</v>
      </c>
      <c r="J128">
        <v>2094.5976557041699</v>
      </c>
      <c r="K128">
        <v>2125.630844155844</v>
      </c>
      <c r="L128">
        <v>2129.0406242063168</v>
      </c>
      <c r="M128">
        <v>2203.260613730929</v>
      </c>
      <c r="N128">
        <v>2134.9716881387139</v>
      </c>
      <c r="O128">
        <v>2190.9967401719291</v>
      </c>
      <c r="P128">
        <v>2189.6356694326641</v>
      </c>
      <c r="Q128" s="20">
        <v>1933.627036535823</v>
      </c>
      <c r="R128" s="20">
        <v>2206.0940917968751</v>
      </c>
      <c r="S128">
        <v>2079.5957519531248</v>
      </c>
      <c r="T128">
        <v>1949.7270973190728</v>
      </c>
      <c r="U128">
        <v>1893.2874879419594</v>
      </c>
      <c r="V128">
        <v>1645.4815083952587</v>
      </c>
      <c r="W128">
        <v>1805.4836492723564</v>
      </c>
      <c r="Y128">
        <v>1422.93915564796</v>
      </c>
    </row>
    <row r="129" spans="1:25">
      <c r="A129">
        <v>108</v>
      </c>
      <c r="B129">
        <v>8</v>
      </c>
      <c r="C129">
        <v>351</v>
      </c>
      <c r="D129">
        <v>72.239999999999995</v>
      </c>
      <c r="E129">
        <v>3</v>
      </c>
      <c r="F129">
        <v>1883</v>
      </c>
      <c r="G129" s="20">
        <v>1877.213078776218</v>
      </c>
      <c r="H129">
        <v>2246.6341407426912</v>
      </c>
      <c r="I129">
        <v>2246.6345886480722</v>
      </c>
      <c r="J129">
        <v>2246.609194238119</v>
      </c>
      <c r="K129">
        <v>1820.039097979798</v>
      </c>
      <c r="L129">
        <v>1866.219825248962</v>
      </c>
      <c r="M129">
        <v>1883.8021359223301</v>
      </c>
      <c r="N129">
        <v>1876.60310185</v>
      </c>
      <c r="O129">
        <v>1898.1150141813</v>
      </c>
      <c r="P129">
        <v>1896.772897770619</v>
      </c>
      <c r="Q129" s="20">
        <v>1826.557236347923</v>
      </c>
      <c r="R129" s="20">
        <v>1906.5523925781249</v>
      </c>
      <c r="S129">
        <v>1801.4412597656251</v>
      </c>
      <c r="T129">
        <v>1926.4795419020447</v>
      </c>
      <c r="U129">
        <v>1909.3212821202937</v>
      </c>
      <c r="V129">
        <v>1691.3490320900221</v>
      </c>
    </row>
    <row r="130" spans="1:25">
      <c r="A130">
        <v>108</v>
      </c>
      <c r="B130">
        <v>4</v>
      </c>
      <c r="C130">
        <v>339.11395700000003</v>
      </c>
      <c r="D130">
        <v>28.244132664999999</v>
      </c>
      <c r="E130">
        <v>3</v>
      </c>
      <c r="F130">
        <v>1073.8281781359599</v>
      </c>
      <c r="G130" s="20">
        <v>1088.538153178918</v>
      </c>
      <c r="H130">
        <v>385.58170340244408</v>
      </c>
      <c r="I130">
        <v>385.58213580785122</v>
      </c>
      <c r="J130">
        <v>385.62244226864738</v>
      </c>
      <c r="K130">
        <v>1004.734370758938</v>
      </c>
      <c r="L130">
        <v>1066.807135527376</v>
      </c>
      <c r="M130">
        <v>1085.870916014238</v>
      </c>
      <c r="N130">
        <v>1014.562165105189</v>
      </c>
      <c r="O130">
        <v>1033.99889742817</v>
      </c>
      <c r="P130">
        <v>1013.03205038136</v>
      </c>
      <c r="Q130" s="20">
        <v>976.14558553051029</v>
      </c>
      <c r="R130" s="20">
        <v>1083.650903320312</v>
      </c>
      <c r="S130">
        <v>978.78173828125</v>
      </c>
      <c r="T130">
        <v>1012.2862717068223</v>
      </c>
      <c r="U130">
        <v>939.79490599677615</v>
      </c>
      <c r="V130">
        <v>838.61948031894553</v>
      </c>
      <c r="W130">
        <v>826.94894198056795</v>
      </c>
      <c r="X130">
        <v>860.48618065423329</v>
      </c>
      <c r="Y130">
        <v>649.81486552355921</v>
      </c>
    </row>
    <row r="131" spans="1:25">
      <c r="A131">
        <v>114</v>
      </c>
      <c r="B131">
        <v>4.4400000000000004</v>
      </c>
      <c r="C131">
        <v>332</v>
      </c>
      <c r="D131">
        <v>37</v>
      </c>
      <c r="E131">
        <v>7.4561403508771926</v>
      </c>
      <c r="F131">
        <v>902</v>
      </c>
      <c r="G131" s="20">
        <v>755.91258890168206</v>
      </c>
      <c r="H131">
        <v>1112.6306512572121</v>
      </c>
      <c r="I131">
        <v>1112.630507657969</v>
      </c>
      <c r="J131">
        <v>1112.5488564629641</v>
      </c>
      <c r="K131">
        <v>996.92526817923169</v>
      </c>
      <c r="L131">
        <v>977.77686877401936</v>
      </c>
      <c r="M131">
        <v>996.01018009391305</v>
      </c>
      <c r="N131">
        <v>891.92550177484372</v>
      </c>
      <c r="O131">
        <v>892.51556587729465</v>
      </c>
      <c r="P131">
        <v>944.9486427407594</v>
      </c>
      <c r="Q131" s="20">
        <v>1038.92890381845</v>
      </c>
      <c r="R131" s="20">
        <v>973.4459350585937</v>
      </c>
      <c r="S131">
        <v>982.48735351562505</v>
      </c>
      <c r="T131">
        <v>981.26246480904047</v>
      </c>
      <c r="U131">
        <v>1143.0521977753388</v>
      </c>
      <c r="V131">
        <v>1013.5550845117672</v>
      </c>
      <c r="W131">
        <v>1041.2203143751863</v>
      </c>
      <c r="X131">
        <v>836.11960830273983</v>
      </c>
      <c r="Y131">
        <v>780.12034106095166</v>
      </c>
    </row>
    <row r="132" spans="1:25">
      <c r="A132">
        <v>140</v>
      </c>
      <c r="B132">
        <v>5</v>
      </c>
      <c r="C132">
        <v>378.28</v>
      </c>
      <c r="D132">
        <v>23.1</v>
      </c>
      <c r="E132">
        <v>6</v>
      </c>
      <c r="F132">
        <v>1283.8</v>
      </c>
      <c r="G132" s="20">
        <v>1384.65160026173</v>
      </c>
      <c r="H132">
        <v>1932.798082577875</v>
      </c>
      <c r="I132">
        <v>1932.798000620144</v>
      </c>
      <c r="J132">
        <v>1932.7469194953881</v>
      </c>
      <c r="K132">
        <v>1289.372791870707</v>
      </c>
      <c r="L132">
        <v>1352.9930547298311</v>
      </c>
      <c r="M132">
        <v>1356.839926935306</v>
      </c>
      <c r="N132">
        <v>1302.440075347979</v>
      </c>
      <c r="O132">
        <v>1305.573406900447</v>
      </c>
      <c r="P132">
        <v>1311.3308236540549</v>
      </c>
      <c r="Q132" s="20">
        <v>1451.180383126688</v>
      </c>
      <c r="R132" s="20">
        <v>1324.98779296875</v>
      </c>
      <c r="S132">
        <v>1375.393798828125</v>
      </c>
      <c r="T132">
        <v>1444.0876431363554</v>
      </c>
      <c r="U132">
        <v>1606.1288140601719</v>
      </c>
      <c r="V132">
        <v>1442.2388497073089</v>
      </c>
      <c r="W132">
        <v>1340.5099045043048</v>
      </c>
      <c r="Y132">
        <v>1064.99746870786</v>
      </c>
    </row>
    <row r="133" spans="1:25">
      <c r="A133">
        <v>159.30000000000001</v>
      </c>
      <c r="B133">
        <v>5.25</v>
      </c>
      <c r="C133">
        <v>356.1</v>
      </c>
      <c r="D133">
        <v>21.9</v>
      </c>
      <c r="E133">
        <v>2.950408035153798</v>
      </c>
      <c r="F133">
        <v>1577</v>
      </c>
      <c r="G133" s="20">
        <v>1796.730622560005</v>
      </c>
      <c r="H133">
        <v>2319.398067230351</v>
      </c>
      <c r="I133">
        <v>2319.3982708798881</v>
      </c>
      <c r="J133">
        <v>2319.4261159180719</v>
      </c>
      <c r="K133">
        <v>1962.0962780388841</v>
      </c>
      <c r="L133">
        <v>1785.96870700771</v>
      </c>
      <c r="M133">
        <v>1841.441854039449</v>
      </c>
      <c r="N133">
        <v>1824.863493885593</v>
      </c>
      <c r="O133">
        <v>1837.2180537874001</v>
      </c>
      <c r="P133">
        <v>1755.4828982195329</v>
      </c>
      <c r="Q133" s="20">
        <v>1717.203364481436</v>
      </c>
      <c r="R133" s="20">
        <v>1843.6268554687499</v>
      </c>
      <c r="S133">
        <v>2013.11201171875</v>
      </c>
      <c r="T133">
        <v>1871.287716441934</v>
      </c>
      <c r="U133">
        <v>1846.5807630794607</v>
      </c>
      <c r="V133">
        <v>1655.3250600426079</v>
      </c>
      <c r="W133">
        <v>1546.3946311947973</v>
      </c>
      <c r="Y133">
        <v>1258.891265083646</v>
      </c>
    </row>
    <row r="134" spans="1:25">
      <c r="A134">
        <v>108</v>
      </c>
      <c r="B134">
        <v>5.5</v>
      </c>
      <c r="C134">
        <v>383.1</v>
      </c>
      <c r="D134">
        <v>86.960000000000008</v>
      </c>
      <c r="E134">
        <v>3</v>
      </c>
      <c r="F134">
        <v>1925</v>
      </c>
      <c r="G134" s="20">
        <v>1913.45786796578</v>
      </c>
      <c r="H134">
        <v>1903.4942519889789</v>
      </c>
      <c r="I134">
        <v>1903.494506526398</v>
      </c>
      <c r="J134">
        <v>1903.4675535128499</v>
      </c>
      <c r="K134">
        <v>1935.50811038961</v>
      </c>
      <c r="L134">
        <v>1931.601338353069</v>
      </c>
      <c r="M134">
        <v>1914.557314455232</v>
      </c>
      <c r="N134">
        <v>1947.4187146199431</v>
      </c>
      <c r="O134">
        <v>1924.635794097544</v>
      </c>
      <c r="P134">
        <v>1945.0461752142371</v>
      </c>
      <c r="Q134" s="20">
        <v>1901.1426137740809</v>
      </c>
      <c r="R134" s="20">
        <v>1920.248779296875</v>
      </c>
      <c r="S134">
        <v>1892.6524414062501</v>
      </c>
      <c r="T134">
        <v>1836.3252981545127</v>
      </c>
      <c r="U134">
        <v>1741.7847718995324</v>
      </c>
      <c r="V134">
        <v>1523.9011295750508</v>
      </c>
    </row>
    <row r="135" spans="1:25">
      <c r="A135">
        <v>127</v>
      </c>
      <c r="B135">
        <v>4.2</v>
      </c>
      <c r="C135">
        <v>349</v>
      </c>
      <c r="D135">
        <v>84.2</v>
      </c>
      <c r="E135">
        <v>3.7795275590551181</v>
      </c>
      <c r="F135">
        <v>2205</v>
      </c>
      <c r="G135" s="20">
        <v>2249.5</v>
      </c>
      <c r="H135">
        <v>2040.1592859228069</v>
      </c>
      <c r="I135">
        <v>2040.159311935307</v>
      </c>
      <c r="J135">
        <v>2040.1291350698821</v>
      </c>
      <c r="K135">
        <v>2018.056818181818</v>
      </c>
      <c r="L135">
        <v>2120.122686635586</v>
      </c>
      <c r="M135">
        <v>2249.332200647249</v>
      </c>
      <c r="N135">
        <v>2075.987033906657</v>
      </c>
      <c r="O135">
        <v>2166.5821982607049</v>
      </c>
      <c r="P135">
        <v>2118.0173385558651</v>
      </c>
      <c r="Q135" s="20">
        <v>1907.1647742095861</v>
      </c>
      <c r="R135" s="20">
        <v>2247.2905761718748</v>
      </c>
      <c r="S135">
        <v>2028.580126953125</v>
      </c>
      <c r="T135">
        <v>1881.3932023829555</v>
      </c>
      <c r="U135">
        <v>1846.2789637035378</v>
      </c>
      <c r="V135">
        <v>1588.2955778269893</v>
      </c>
    </row>
    <row r="136" spans="1:25">
      <c r="A136">
        <v>47.28</v>
      </c>
      <c r="B136">
        <v>1.87</v>
      </c>
      <c r="C136">
        <v>360</v>
      </c>
      <c r="D136">
        <v>27.458933624883009</v>
      </c>
      <c r="E136">
        <v>7.1912013536379016</v>
      </c>
      <c r="F136">
        <v>203</v>
      </c>
      <c r="G136" s="20">
        <v>181.2515791950344</v>
      </c>
      <c r="H136">
        <v>-1802.882494141596</v>
      </c>
      <c r="I136">
        <v>-1802.8823188950221</v>
      </c>
      <c r="J136">
        <v>-1802.9297610638821</v>
      </c>
      <c r="K136">
        <v>189.36983216783219</v>
      </c>
      <c r="L136">
        <v>181.95554733727809</v>
      </c>
      <c r="M136">
        <v>184.57799352750811</v>
      </c>
      <c r="N136">
        <v>198.66968890924869</v>
      </c>
      <c r="O136">
        <v>192.5133285954465</v>
      </c>
      <c r="P136">
        <v>188.79724654144439</v>
      </c>
      <c r="Q136" s="20">
        <v>176.97177091203901</v>
      </c>
      <c r="R136" s="20">
        <v>185.64047851562501</v>
      </c>
      <c r="S136">
        <v>222.31735839843751</v>
      </c>
      <c r="T136">
        <v>152.85607259655043</v>
      </c>
      <c r="U136">
        <v>196.46613001406971</v>
      </c>
      <c r="V136">
        <v>175.91952481927953</v>
      </c>
      <c r="W136">
        <v>169.70273832573585</v>
      </c>
      <c r="Y136">
        <v>129.92856985043039</v>
      </c>
    </row>
    <row r="137" spans="1:25">
      <c r="A137">
        <v>114.3</v>
      </c>
      <c r="B137">
        <v>3.35</v>
      </c>
      <c r="C137">
        <v>287.33</v>
      </c>
      <c r="D137">
        <v>33.489107602417988</v>
      </c>
      <c r="E137">
        <v>5</v>
      </c>
      <c r="F137">
        <v>739.5</v>
      </c>
      <c r="G137" s="20">
        <v>742.57058354492688</v>
      </c>
      <c r="H137">
        <v>447.5620233355761</v>
      </c>
      <c r="I137">
        <v>447.56217023210138</v>
      </c>
      <c r="J137">
        <v>447.56294940262319</v>
      </c>
      <c r="K137">
        <v>775.57620990494547</v>
      </c>
      <c r="L137">
        <v>736.89400091528353</v>
      </c>
      <c r="M137">
        <v>732.19641206920721</v>
      </c>
      <c r="N137">
        <v>682.06915081891384</v>
      </c>
      <c r="O137">
        <v>672.67044857555209</v>
      </c>
      <c r="P137">
        <v>707.6001399012232</v>
      </c>
      <c r="Q137" s="20">
        <v>777.22199531792842</v>
      </c>
      <c r="R137" s="20">
        <v>676.4202880859375</v>
      </c>
      <c r="S137">
        <v>891.77080078125005</v>
      </c>
      <c r="T137">
        <v>876.7191562814736</v>
      </c>
      <c r="U137">
        <v>848.0445859208412</v>
      </c>
      <c r="V137">
        <v>744.75245202246185</v>
      </c>
      <c r="W137">
        <v>796.84440093923831</v>
      </c>
      <c r="X137">
        <v>724.64605712634852</v>
      </c>
      <c r="Y137">
        <v>614.11005219918059</v>
      </c>
    </row>
    <row r="138" spans="1:25">
      <c r="A138">
        <v>76.11</v>
      </c>
      <c r="B138">
        <v>2.48</v>
      </c>
      <c r="C138">
        <v>286</v>
      </c>
      <c r="D138">
        <v>145</v>
      </c>
      <c r="E138">
        <v>3.941663381947182</v>
      </c>
      <c r="F138">
        <v>774</v>
      </c>
      <c r="G138" s="20">
        <v>784.15964038160769</v>
      </c>
      <c r="H138">
        <v>722.77499257864383</v>
      </c>
      <c r="I138">
        <v>722.77504870740324</v>
      </c>
      <c r="J138">
        <v>722.72431869898605</v>
      </c>
      <c r="K138">
        <v>810.0334931480154</v>
      </c>
      <c r="L138">
        <v>765.47339795176526</v>
      </c>
      <c r="M138">
        <v>757.86387368823296</v>
      </c>
      <c r="N138">
        <v>764.32235341761555</v>
      </c>
      <c r="O138">
        <v>786.73045858202818</v>
      </c>
      <c r="P138">
        <v>724.3888373437195</v>
      </c>
      <c r="Q138" s="20">
        <v>754.28956762899725</v>
      </c>
      <c r="R138" s="20">
        <v>733.83872070312498</v>
      </c>
      <c r="S138">
        <v>831.33339843750002</v>
      </c>
      <c r="T138">
        <v>811.66175767250877</v>
      </c>
      <c r="U138">
        <v>812.76823080393024</v>
      </c>
      <c r="V138">
        <v>706.1432753358813</v>
      </c>
    </row>
    <row r="139" spans="1:25">
      <c r="A139">
        <v>95.5</v>
      </c>
      <c r="B139">
        <v>3.7250000000000001</v>
      </c>
      <c r="C139">
        <v>281.45085499999999</v>
      </c>
      <c r="D139">
        <v>34.999933849999998</v>
      </c>
      <c r="E139">
        <v>5.2879581151832458</v>
      </c>
      <c r="F139">
        <v>666.85220194744522</v>
      </c>
      <c r="G139" s="20">
        <v>653.69254272166268</v>
      </c>
      <c r="H139">
        <v>-24.709079015978482</v>
      </c>
      <c r="I139">
        <v>-24.70883966592773</v>
      </c>
      <c r="J139">
        <v>-24.71553483136568</v>
      </c>
      <c r="K139">
        <v>750.78124863744029</v>
      </c>
      <c r="L139">
        <v>689.80325377278052</v>
      </c>
      <c r="M139">
        <v>653.3479381363361</v>
      </c>
      <c r="N139">
        <v>623.87645934564284</v>
      </c>
      <c r="O139">
        <v>662.16892693730983</v>
      </c>
      <c r="P139">
        <v>606.99907850957993</v>
      </c>
      <c r="Q139" s="20">
        <v>722.84125135697855</v>
      </c>
      <c r="R139" s="20">
        <v>623.53201904296873</v>
      </c>
      <c r="S139">
        <v>709.05788574218752</v>
      </c>
      <c r="T139">
        <v>727.51318433432698</v>
      </c>
      <c r="U139">
        <v>702.80238512955953</v>
      </c>
      <c r="V139">
        <v>621.28655361920755</v>
      </c>
      <c r="W139">
        <v>651.58165996367882</v>
      </c>
      <c r="X139">
        <v>582.67226613063065</v>
      </c>
      <c r="Y139">
        <v>495.64478176121207</v>
      </c>
    </row>
    <row r="140" spans="1:25">
      <c r="A140">
        <v>131</v>
      </c>
      <c r="B140">
        <v>2.2999999999999998</v>
      </c>
      <c r="C140">
        <v>323.3</v>
      </c>
      <c r="D140">
        <v>44.588282136825299</v>
      </c>
      <c r="E140">
        <v>3.0229007633587792</v>
      </c>
      <c r="F140">
        <v>1250</v>
      </c>
      <c r="G140" s="20">
        <v>1171.9854274027571</v>
      </c>
      <c r="H140">
        <v>861.2727185932323</v>
      </c>
      <c r="I140">
        <v>861.27288791134413</v>
      </c>
      <c r="J140">
        <v>861.31202262897716</v>
      </c>
      <c r="K140">
        <v>1323.8851731601731</v>
      </c>
      <c r="L140">
        <v>1239.541482530044</v>
      </c>
      <c r="M140">
        <v>1240.727389505317</v>
      </c>
      <c r="N140">
        <v>1143.303830772169</v>
      </c>
      <c r="O140">
        <v>1165.338643755832</v>
      </c>
      <c r="P140">
        <v>1171.327443824521</v>
      </c>
      <c r="Q140" s="20">
        <v>1155.7603760843331</v>
      </c>
      <c r="R140" s="20">
        <v>1191.951831054688</v>
      </c>
      <c r="S140">
        <v>1160.8221191406251</v>
      </c>
      <c r="T140">
        <v>1149.9274519465173</v>
      </c>
      <c r="U140">
        <v>1046.5598712502604</v>
      </c>
      <c r="V140">
        <v>897.47474986170039</v>
      </c>
      <c r="W140">
        <v>901.14829653887477</v>
      </c>
      <c r="X140">
        <v>989.91814091273193</v>
      </c>
      <c r="Y140">
        <v>825.05573145501603</v>
      </c>
    </row>
    <row r="141" spans="1:25">
      <c r="A141">
        <v>133</v>
      </c>
      <c r="B141">
        <v>3.5</v>
      </c>
      <c r="C141">
        <v>352</v>
      </c>
      <c r="D141">
        <v>106.02</v>
      </c>
      <c r="E141">
        <v>3.496240601503759</v>
      </c>
      <c r="F141">
        <v>1962</v>
      </c>
      <c r="G141" s="20">
        <v>1993</v>
      </c>
      <c r="H141">
        <v>2383.1967438339811</v>
      </c>
      <c r="I141">
        <v>2383.1966550264401</v>
      </c>
      <c r="J141">
        <v>2383.159621949992</v>
      </c>
      <c r="K141">
        <v>2061.9129292929292</v>
      </c>
      <c r="L141">
        <v>2010.7731830901371</v>
      </c>
      <c r="M141">
        <v>1993.033106796116</v>
      </c>
      <c r="N141">
        <v>2102.3910489312439</v>
      </c>
      <c r="O141">
        <v>2030.5302048466469</v>
      </c>
      <c r="P141">
        <v>2046.852536846558</v>
      </c>
      <c r="Q141" s="20">
        <v>1971.6492296609081</v>
      </c>
      <c r="R141" s="20">
        <v>1996.0597167968749</v>
      </c>
      <c r="S141">
        <v>1989.867138671875</v>
      </c>
      <c r="T141">
        <v>2071.7716078020953</v>
      </c>
      <c r="U141">
        <v>2043.721443274253</v>
      </c>
      <c r="V141">
        <v>1806.5728966776974</v>
      </c>
    </row>
    <row r="142" spans="1:25">
      <c r="A142">
        <v>165</v>
      </c>
      <c r="B142">
        <v>2.37</v>
      </c>
      <c r="C142">
        <v>287.5</v>
      </c>
      <c r="D142">
        <v>24.16</v>
      </c>
      <c r="E142">
        <v>3.7272727272727271</v>
      </c>
      <c r="F142">
        <v>1008</v>
      </c>
      <c r="G142" s="20">
        <v>1087.5091209577911</v>
      </c>
      <c r="H142">
        <v>1557.9717600663939</v>
      </c>
      <c r="I142">
        <v>1557.9717498983609</v>
      </c>
      <c r="J142">
        <v>1558.012721023485</v>
      </c>
      <c r="K142">
        <v>1205.426800994861</v>
      </c>
      <c r="L142">
        <v>1254.2395171621699</v>
      </c>
      <c r="M142">
        <v>1090.349483894373</v>
      </c>
      <c r="N142">
        <v>1156.1455967855629</v>
      </c>
      <c r="O142">
        <v>1194.724726017218</v>
      </c>
      <c r="P142">
        <v>1147.6339177018981</v>
      </c>
      <c r="Q142" s="20">
        <v>1194.9784059695301</v>
      </c>
      <c r="R142" s="20">
        <v>1126.9212768554689</v>
      </c>
      <c r="S142">
        <v>1207.3422119140625</v>
      </c>
      <c r="T142">
        <v>1128.4022442674536</v>
      </c>
      <c r="U142">
        <v>1051.3101136789057</v>
      </c>
      <c r="V142">
        <v>911.02719618821391</v>
      </c>
      <c r="W142">
        <v>875.67538692641699</v>
      </c>
      <c r="Y142">
        <v>802.80228199369765</v>
      </c>
    </row>
    <row r="143" spans="1:25">
      <c r="A143">
        <v>107.9</v>
      </c>
      <c r="B143">
        <v>4.32</v>
      </c>
      <c r="C143">
        <v>264.89999999999998</v>
      </c>
      <c r="D143">
        <v>18.399999999999999</v>
      </c>
      <c r="E143">
        <v>2.8730305838739572</v>
      </c>
      <c r="F143">
        <v>686</v>
      </c>
      <c r="G143" s="20">
        <v>848.30588671305964</v>
      </c>
      <c r="H143">
        <v>48.944747305088001</v>
      </c>
      <c r="I143">
        <v>48.945303897851232</v>
      </c>
      <c r="J143">
        <v>49.011016910653318</v>
      </c>
      <c r="K143">
        <v>888.75244715089866</v>
      </c>
      <c r="L143">
        <v>883.27536617413466</v>
      </c>
      <c r="M143">
        <v>874.39394058438882</v>
      </c>
      <c r="N143">
        <v>891.22180002344135</v>
      </c>
      <c r="O143">
        <v>850.51380127994548</v>
      </c>
      <c r="P143">
        <v>846.03620105012453</v>
      </c>
      <c r="Q143" s="20">
        <v>808.5983723166421</v>
      </c>
      <c r="R143" s="20">
        <v>882.213623046875</v>
      </c>
      <c r="S143">
        <v>786.06081542968752</v>
      </c>
      <c r="T143">
        <v>863.80640461964902</v>
      </c>
      <c r="U143">
        <v>745.64511476014093</v>
      </c>
      <c r="V143">
        <v>669.16040200612156</v>
      </c>
      <c r="W143">
        <v>633.23043088627492</v>
      </c>
    </row>
    <row r="144" spans="1:25">
      <c r="A144">
        <v>107.9</v>
      </c>
      <c r="B144">
        <v>4.32</v>
      </c>
      <c r="C144">
        <v>264.89999999999998</v>
      </c>
      <c r="D144">
        <v>18.399999999999999</v>
      </c>
      <c r="E144">
        <v>3.9295644114921222</v>
      </c>
      <c r="F144">
        <v>727</v>
      </c>
      <c r="G144" s="20">
        <v>874.68164407586119</v>
      </c>
      <c r="H144">
        <v>119.1875547448751</v>
      </c>
      <c r="I144">
        <v>119.1879845358991</v>
      </c>
      <c r="J144">
        <v>119.2269702693351</v>
      </c>
      <c r="K144">
        <v>888.75244715089866</v>
      </c>
      <c r="L144">
        <v>831.04854716004888</v>
      </c>
      <c r="M144">
        <v>817.05807323117665</v>
      </c>
      <c r="N144">
        <v>874.41314259026842</v>
      </c>
      <c r="O144">
        <v>837.22615633322073</v>
      </c>
      <c r="P144">
        <v>832.1875645779586</v>
      </c>
      <c r="Q144" s="20">
        <v>797.9786503301217</v>
      </c>
      <c r="R144" s="20">
        <v>831.2375610351562</v>
      </c>
      <c r="S144">
        <v>1010.480712890625</v>
      </c>
      <c r="T144">
        <v>925.79800562681339</v>
      </c>
      <c r="U144">
        <v>745.64511476014093</v>
      </c>
      <c r="V144">
        <v>669.16040200612156</v>
      </c>
      <c r="W144">
        <v>633.23043088627492</v>
      </c>
    </row>
    <row r="145" spans="1:25">
      <c r="A145">
        <v>108</v>
      </c>
      <c r="B145">
        <v>10</v>
      </c>
      <c r="C145">
        <v>366.2</v>
      </c>
      <c r="D145">
        <v>72.239999999999995</v>
      </c>
      <c r="E145">
        <v>3</v>
      </c>
      <c r="F145">
        <v>2175</v>
      </c>
      <c r="G145" s="20">
        <v>2194.0748241759961</v>
      </c>
      <c r="H145">
        <v>2852.0018249815448</v>
      </c>
      <c r="I145">
        <v>2852.0023530083458</v>
      </c>
      <c r="J145">
        <v>2851.959671137889</v>
      </c>
      <c r="K145">
        <v>2293.6863275613282</v>
      </c>
      <c r="L145">
        <v>2196.2469585470089</v>
      </c>
      <c r="M145">
        <v>2194.9713592233011</v>
      </c>
      <c r="N145">
        <v>2191.9237796480129</v>
      </c>
      <c r="O145">
        <v>2188.04930683459</v>
      </c>
      <c r="P145">
        <v>2188.3843327938489</v>
      </c>
      <c r="Q145" s="20">
        <v>2069.7669948926791</v>
      </c>
      <c r="R145" s="20">
        <v>2177.2930664062501</v>
      </c>
      <c r="S145">
        <v>2176.6773925781249</v>
      </c>
      <c r="T145">
        <v>2234.0674396355234</v>
      </c>
      <c r="U145">
        <v>2265.8289651222512</v>
      </c>
      <c r="V145">
        <v>2015.5007781861277</v>
      </c>
      <c r="W145">
        <v>1839.6430126196835</v>
      </c>
    </row>
    <row r="146" spans="1:25">
      <c r="A146">
        <v>101.7016</v>
      </c>
      <c r="B146">
        <v>3.0733999999999999</v>
      </c>
      <c r="C146">
        <v>605.08389889279999</v>
      </c>
      <c r="D146">
        <v>34.129048535999999</v>
      </c>
      <c r="E146">
        <v>1.9987512487512491</v>
      </c>
      <c r="F146">
        <v>1112.0554</v>
      </c>
      <c r="G146" s="20">
        <v>1953.9778939128021</v>
      </c>
      <c r="H146">
        <v>867.03892560990096</v>
      </c>
      <c r="I146">
        <v>867.03924340856724</v>
      </c>
      <c r="J146">
        <v>867.04817666651866</v>
      </c>
      <c r="K146">
        <v>738.06333333333339</v>
      </c>
      <c r="L146">
        <v>780.36900330024548</v>
      </c>
      <c r="M146">
        <v>811.55056416388015</v>
      </c>
      <c r="N146">
        <v>832.52425134487908</v>
      </c>
      <c r="O146">
        <v>1030.1343461566919</v>
      </c>
      <c r="P146">
        <v>936.60611753864873</v>
      </c>
      <c r="Q146" s="20">
        <v>800.35792825392946</v>
      </c>
      <c r="R146" s="20">
        <v>881.0941040039063</v>
      </c>
      <c r="S146">
        <v>1168.9613952636719</v>
      </c>
      <c r="T146">
        <v>1331.9767392360175</v>
      </c>
      <c r="U146">
        <v>1120.5969846226315</v>
      </c>
      <c r="V146">
        <v>1056.3473272187525</v>
      </c>
      <c r="W146">
        <v>994.13399913027956</v>
      </c>
    </row>
    <row r="147" spans="1:25">
      <c r="A147">
        <v>166</v>
      </c>
      <c r="B147">
        <v>5</v>
      </c>
      <c r="C147">
        <v>274.58620000000002</v>
      </c>
      <c r="D147">
        <v>28.813899030000002</v>
      </c>
      <c r="E147">
        <v>3.012048192771084</v>
      </c>
      <c r="F147">
        <v>2044.6865309712109</v>
      </c>
      <c r="G147" s="20">
        <v>2018.8188318687901</v>
      </c>
      <c r="H147">
        <v>2301.312804829498</v>
      </c>
      <c r="I147">
        <v>2301.3129888535909</v>
      </c>
      <c r="J147">
        <v>2301.3527923413449</v>
      </c>
      <c r="K147">
        <v>1979.4978483692321</v>
      </c>
      <c r="L147">
        <v>1964.7036741820041</v>
      </c>
      <c r="M147">
        <v>1999.2269584204389</v>
      </c>
      <c r="N147">
        <v>2005.584861565967</v>
      </c>
      <c r="O147">
        <v>1945.6515415636591</v>
      </c>
      <c r="P147">
        <v>1972.1709535767111</v>
      </c>
      <c r="Q147" s="20">
        <v>1787.063118145019</v>
      </c>
      <c r="R147" s="20">
        <v>2045.605590820312</v>
      </c>
      <c r="S147">
        <v>2005.776171875</v>
      </c>
      <c r="T147">
        <v>1773.0396930416682</v>
      </c>
      <c r="U147">
        <v>1675.6992109586636</v>
      </c>
      <c r="V147">
        <v>1477.6876647227541</v>
      </c>
      <c r="W147">
        <v>1523.1379338125168</v>
      </c>
      <c r="X147">
        <v>1572.2471663066731</v>
      </c>
      <c r="Y147">
        <v>1210.5840590843391</v>
      </c>
    </row>
    <row r="148" spans="1:25">
      <c r="A148">
        <v>165.7</v>
      </c>
      <c r="B148">
        <v>5.0999999999999996</v>
      </c>
      <c r="C148">
        <v>373.3</v>
      </c>
      <c r="D148">
        <v>60.75</v>
      </c>
      <c r="E148">
        <v>2.9993964996982498</v>
      </c>
      <c r="F148">
        <v>2309</v>
      </c>
      <c r="G148" s="20">
        <v>2230.4271308225179</v>
      </c>
      <c r="H148">
        <v>3174.27554391383</v>
      </c>
      <c r="I148">
        <v>3174.275543081757</v>
      </c>
      <c r="J148">
        <v>3174.267448863071</v>
      </c>
      <c r="K148">
        <v>2304.5128484307688</v>
      </c>
      <c r="L148">
        <v>2349.1679274463982</v>
      </c>
      <c r="M148">
        <v>2419.9481059336622</v>
      </c>
      <c r="N148">
        <v>2444.8630097796199</v>
      </c>
      <c r="O148">
        <v>2428.247731881384</v>
      </c>
      <c r="P148">
        <v>2517.349148313323</v>
      </c>
      <c r="Q148" s="20">
        <v>2238.8582970030652</v>
      </c>
      <c r="R148" s="20">
        <v>2333.1405761718752</v>
      </c>
      <c r="S148">
        <v>2647.3145996093749</v>
      </c>
      <c r="T148">
        <v>2705.9406598251153</v>
      </c>
      <c r="U148">
        <v>2709.8146902574085</v>
      </c>
      <c r="V148">
        <v>2357.3851548474177</v>
      </c>
      <c r="W148">
        <v>2566.7706618282709</v>
      </c>
      <c r="Y148">
        <v>2039.0098278194059</v>
      </c>
    </row>
    <row r="149" spans="1:25">
      <c r="A149">
        <v>140.4</v>
      </c>
      <c r="B149">
        <v>4.93</v>
      </c>
      <c r="C149">
        <v>302</v>
      </c>
      <c r="D149">
        <v>33.200000000000003</v>
      </c>
      <c r="E149">
        <v>2.891737891737892</v>
      </c>
      <c r="F149">
        <v>1824</v>
      </c>
      <c r="G149" s="20">
        <v>1680.8468974436751</v>
      </c>
      <c r="H149">
        <v>1622.433102747234</v>
      </c>
      <c r="I149">
        <v>1622.4334113384259</v>
      </c>
      <c r="J149">
        <v>1622.4702862172319</v>
      </c>
      <c r="K149">
        <v>1378.0870634920641</v>
      </c>
      <c r="L149">
        <v>1500.846172358953</v>
      </c>
      <c r="M149">
        <v>1695.699313428029</v>
      </c>
      <c r="N149">
        <v>1643.9563226059579</v>
      </c>
      <c r="O149">
        <v>1721.3097225727031</v>
      </c>
      <c r="P149">
        <v>1675.2493816489</v>
      </c>
      <c r="Q149" s="20">
        <v>1587.3074169847141</v>
      </c>
      <c r="R149" s="20">
        <v>1760.504565429688</v>
      </c>
      <c r="S149">
        <v>1555.6483398437499</v>
      </c>
      <c r="T149">
        <v>1531.8274379758327</v>
      </c>
      <c r="U149">
        <v>1470.8466830768539</v>
      </c>
      <c r="V149">
        <v>1301.0510091167216</v>
      </c>
      <c r="W149">
        <v>1339.0973126745491</v>
      </c>
      <c r="X149">
        <v>1370.222667765845</v>
      </c>
      <c r="Y149">
        <v>1049.7673355548161</v>
      </c>
    </row>
    <row r="150" spans="1:25">
      <c r="A150">
        <v>152</v>
      </c>
      <c r="B150">
        <v>1.7</v>
      </c>
      <c r="C150">
        <v>270</v>
      </c>
      <c r="D150">
        <v>73</v>
      </c>
      <c r="E150">
        <v>5.9210526315789478</v>
      </c>
      <c r="F150">
        <v>1550</v>
      </c>
      <c r="G150" s="20">
        <v>1451.388812075166</v>
      </c>
      <c r="H150">
        <v>1836.209389531188</v>
      </c>
      <c r="I150">
        <v>1836.208998688184</v>
      </c>
      <c r="J150">
        <v>1836.165502192749</v>
      </c>
      <c r="K150">
        <v>1678.426349206349</v>
      </c>
      <c r="L150">
        <v>1551.3339932509739</v>
      </c>
      <c r="M150">
        <v>1461.291252427184</v>
      </c>
      <c r="N150">
        <v>1565.9549430350571</v>
      </c>
      <c r="O150">
        <v>1439.5419172529989</v>
      </c>
      <c r="P150">
        <v>1468.10597229269</v>
      </c>
      <c r="Q150" s="20">
        <v>1598.9475876038321</v>
      </c>
      <c r="R150" s="20">
        <v>1460.572314453125</v>
      </c>
      <c r="S150">
        <v>1702.897265625</v>
      </c>
      <c r="T150">
        <v>1540.0188125972034</v>
      </c>
      <c r="U150">
        <v>1617.1531779028137</v>
      </c>
      <c r="V150">
        <v>1337.4364695890597</v>
      </c>
    </row>
    <row r="151" spans="1:25">
      <c r="A151">
        <v>57.15</v>
      </c>
      <c r="B151">
        <v>1.25</v>
      </c>
      <c r="C151">
        <v>250</v>
      </c>
      <c r="D151">
        <v>41.360000000000007</v>
      </c>
      <c r="E151">
        <v>6.1242344706911638</v>
      </c>
      <c r="F151">
        <v>145.86000000000001</v>
      </c>
      <c r="G151" s="20">
        <v>157.09273530439049</v>
      </c>
      <c r="H151">
        <v>-1881.3848972360529</v>
      </c>
      <c r="I151">
        <v>-1881.384644855952</v>
      </c>
      <c r="J151">
        <v>-1881.3886534629819</v>
      </c>
      <c r="K151">
        <v>171.2713928571429</v>
      </c>
      <c r="L151">
        <v>165.50561923076921</v>
      </c>
      <c r="M151">
        <v>158.27769902912621</v>
      </c>
      <c r="N151">
        <v>153.23281290861709</v>
      </c>
      <c r="O151">
        <v>150.12029943489881</v>
      </c>
      <c r="P151">
        <v>145.9837312414669</v>
      </c>
      <c r="Q151" s="20">
        <v>168.22047395077189</v>
      </c>
      <c r="R151" s="20">
        <v>152.32133178710939</v>
      </c>
      <c r="S151">
        <v>109.3546630859375</v>
      </c>
      <c r="T151">
        <v>155.40645183344685</v>
      </c>
      <c r="U151">
        <v>185.92275709535812</v>
      </c>
      <c r="V151">
        <v>159.67925168296765</v>
      </c>
      <c r="W151">
        <v>184.54081874256943</v>
      </c>
      <c r="X151">
        <v>157.83511247012331</v>
      </c>
      <c r="Y151">
        <v>142.8698177383479</v>
      </c>
    </row>
    <row r="152" spans="1:25">
      <c r="A152">
        <v>133</v>
      </c>
      <c r="B152">
        <v>5</v>
      </c>
      <c r="C152">
        <v>306</v>
      </c>
      <c r="D152">
        <v>49.92</v>
      </c>
      <c r="E152">
        <v>3</v>
      </c>
      <c r="F152">
        <v>1581</v>
      </c>
      <c r="G152" s="20">
        <v>1582.6618045102721</v>
      </c>
      <c r="H152">
        <v>1697.8931072062619</v>
      </c>
      <c r="I152">
        <v>1697.893385937263</v>
      </c>
      <c r="J152">
        <v>1697.9136625795229</v>
      </c>
      <c r="K152">
        <v>1610.467142857143</v>
      </c>
      <c r="L152">
        <v>1575.1810671621749</v>
      </c>
      <c r="M152">
        <v>1579.7154659913981</v>
      </c>
      <c r="N152">
        <v>1572.7447710273309</v>
      </c>
      <c r="O152">
        <v>1552.576532073118</v>
      </c>
      <c r="P152">
        <v>1562.4516303087451</v>
      </c>
      <c r="Q152" s="20">
        <v>1581.0498625630159</v>
      </c>
      <c r="R152" s="20">
        <v>1595.532006835937</v>
      </c>
      <c r="S152">
        <v>1569.12841796875</v>
      </c>
      <c r="T152">
        <v>1625.6750740084578</v>
      </c>
      <c r="U152">
        <v>1589.8680561488975</v>
      </c>
      <c r="V152">
        <v>1392.2865960808153</v>
      </c>
      <c r="W152">
        <v>1498.1867788165341</v>
      </c>
      <c r="X152">
        <v>1467.2462553488299</v>
      </c>
      <c r="Y152">
        <v>1170.6589934100939</v>
      </c>
    </row>
    <row r="153" spans="1:25">
      <c r="A153">
        <v>108</v>
      </c>
      <c r="B153">
        <v>4</v>
      </c>
      <c r="C153">
        <v>337.6</v>
      </c>
      <c r="D153">
        <v>35.33</v>
      </c>
      <c r="E153">
        <v>7</v>
      </c>
      <c r="F153">
        <v>785</v>
      </c>
      <c r="G153" s="20">
        <v>777.26294205161707</v>
      </c>
      <c r="H153">
        <v>761.27813573101503</v>
      </c>
      <c r="I153">
        <v>761.27806361008948</v>
      </c>
      <c r="J153">
        <v>761.21184170981053</v>
      </c>
      <c r="K153">
        <v>827.04584777311845</v>
      </c>
      <c r="L153">
        <v>832.07782031612328</v>
      </c>
      <c r="M153">
        <v>796.35371893324498</v>
      </c>
      <c r="N153">
        <v>875.62816739758966</v>
      </c>
      <c r="O153">
        <v>838.68002279790039</v>
      </c>
      <c r="P153">
        <v>793.62466821102282</v>
      </c>
      <c r="Q153" s="20">
        <v>925.35333661463687</v>
      </c>
      <c r="R153" s="20">
        <v>809.73208007812502</v>
      </c>
      <c r="S153">
        <v>830.65249023437502</v>
      </c>
      <c r="T153">
        <v>869.88888910283856</v>
      </c>
      <c r="U153">
        <v>992.24185521412062</v>
      </c>
      <c r="V153">
        <v>880.18959892651048</v>
      </c>
      <c r="W153">
        <v>902.86039681797729</v>
      </c>
      <c r="X153">
        <v>739.55346712935489</v>
      </c>
      <c r="Y153">
        <v>679.88376039573984</v>
      </c>
    </row>
    <row r="154" spans="1:25">
      <c r="A154">
        <v>152.4</v>
      </c>
      <c r="B154">
        <v>1.55</v>
      </c>
      <c r="C154">
        <v>331</v>
      </c>
      <c r="D154">
        <v>16.23188385577448</v>
      </c>
      <c r="E154">
        <v>5.9973753280839892</v>
      </c>
      <c r="F154">
        <v>721.5</v>
      </c>
      <c r="G154" s="20">
        <v>733.67672593190457</v>
      </c>
      <c r="H154">
        <v>1100.3776850463371</v>
      </c>
      <c r="I154">
        <v>1100.377433540714</v>
      </c>
      <c r="J154">
        <v>1100.3649006395719</v>
      </c>
      <c r="K154">
        <v>781.02228571428566</v>
      </c>
      <c r="L154">
        <v>744.02348407679835</v>
      </c>
      <c r="M154">
        <v>725.02072006472497</v>
      </c>
      <c r="N154">
        <v>690.88933242772168</v>
      </c>
      <c r="O154">
        <v>718.81657270959147</v>
      </c>
      <c r="P154">
        <v>710.88499358446529</v>
      </c>
      <c r="Q154" s="20">
        <v>786.19792301451162</v>
      </c>
      <c r="R154" s="20">
        <v>727.1740600585938</v>
      </c>
      <c r="S154">
        <v>706.14445800781255</v>
      </c>
      <c r="T154">
        <v>626.18010023322063</v>
      </c>
      <c r="U154">
        <v>678.05553773298584</v>
      </c>
      <c r="V154">
        <v>591.53686169250761</v>
      </c>
      <c r="W154">
        <v>556.38898559180359</v>
      </c>
    </row>
    <row r="155" spans="1:25">
      <c r="A155">
        <v>152.4</v>
      </c>
      <c r="B155">
        <v>1.55</v>
      </c>
      <c r="C155">
        <v>336</v>
      </c>
      <c r="D155">
        <v>26.3</v>
      </c>
      <c r="E155">
        <v>5.9973753280839892</v>
      </c>
      <c r="F155">
        <v>721</v>
      </c>
      <c r="G155" s="20">
        <v>738.93356135134502</v>
      </c>
      <c r="H155">
        <v>1280.794298301558</v>
      </c>
      <c r="I155">
        <v>1280.794006451998</v>
      </c>
      <c r="J155">
        <v>1280.772294480023</v>
      </c>
      <c r="K155">
        <v>833.71561904761916</v>
      </c>
      <c r="L155">
        <v>847.7309120162912</v>
      </c>
      <c r="M155">
        <v>754.10825740399775</v>
      </c>
      <c r="N155">
        <v>758.751660768026</v>
      </c>
      <c r="O155">
        <v>749.39619775592269</v>
      </c>
      <c r="P155">
        <v>781.47795907252873</v>
      </c>
      <c r="Q155" s="20">
        <v>837.61257886458884</v>
      </c>
      <c r="R155" s="20">
        <v>749.26950683593748</v>
      </c>
      <c r="S155">
        <v>878.35544433593748</v>
      </c>
      <c r="T155">
        <v>753.1106519231073</v>
      </c>
      <c r="U155">
        <v>860.2670706617356</v>
      </c>
      <c r="V155">
        <v>738.04766555070535</v>
      </c>
      <c r="W155">
        <v>726.64779793415744</v>
      </c>
      <c r="Y155">
        <v>647.00768347083726</v>
      </c>
    </row>
    <row r="156" spans="1:25">
      <c r="A156">
        <v>153</v>
      </c>
      <c r="B156">
        <v>3.64</v>
      </c>
      <c r="C156">
        <v>320</v>
      </c>
      <c r="D156">
        <v>73.2</v>
      </c>
      <c r="E156">
        <v>2</v>
      </c>
      <c r="F156">
        <v>2274</v>
      </c>
      <c r="G156" s="20">
        <v>2234.5</v>
      </c>
      <c r="H156">
        <v>2318.4654897481969</v>
      </c>
      <c r="I156">
        <v>2318.4656130457352</v>
      </c>
      <c r="J156">
        <v>2318.4964074412942</v>
      </c>
      <c r="K156">
        <v>2139.758281481063</v>
      </c>
      <c r="L156">
        <v>2182.4870426163352</v>
      </c>
      <c r="M156">
        <v>2234.5238734974569</v>
      </c>
      <c r="N156">
        <v>2103.678442097375</v>
      </c>
      <c r="O156">
        <v>2169.2338426604661</v>
      </c>
      <c r="P156">
        <v>2205.0342494328261</v>
      </c>
      <c r="Q156" s="20">
        <v>2043.9545666122731</v>
      </c>
      <c r="R156" s="20">
        <v>2232.9979980468752</v>
      </c>
      <c r="S156">
        <v>2374.7294921875</v>
      </c>
      <c r="T156">
        <v>2229.7004979983903</v>
      </c>
      <c r="U156">
        <v>2106.2077905205206</v>
      </c>
      <c r="V156">
        <v>1793.6935107490792</v>
      </c>
    </row>
    <row r="157" spans="1:25">
      <c r="A157">
        <v>140</v>
      </c>
      <c r="B157">
        <v>5</v>
      </c>
      <c r="C157">
        <v>178.28</v>
      </c>
      <c r="D157">
        <v>51</v>
      </c>
      <c r="E157">
        <v>6</v>
      </c>
      <c r="F157">
        <v>1705.2</v>
      </c>
      <c r="G157" s="20">
        <v>1747.992929617265</v>
      </c>
      <c r="H157">
        <v>1701.2118857544319</v>
      </c>
      <c r="I157">
        <v>1701.2118591755011</v>
      </c>
      <c r="J157">
        <v>1701.182946659548</v>
      </c>
      <c r="K157">
        <v>1698.9073809523809</v>
      </c>
      <c r="L157">
        <v>1609.372127613206</v>
      </c>
      <c r="M157">
        <v>1529.8187281042219</v>
      </c>
      <c r="N157">
        <v>1389.711441715325</v>
      </c>
      <c r="O157">
        <v>1651.371683972101</v>
      </c>
      <c r="P157">
        <v>1499.26236557483</v>
      </c>
      <c r="Q157" s="20">
        <v>1564.9885215231391</v>
      </c>
      <c r="R157" s="20">
        <v>1500.739672851563</v>
      </c>
      <c r="S157">
        <v>1440.6895507812501</v>
      </c>
      <c r="T157">
        <v>1113.4696219830159</v>
      </c>
      <c r="U157">
        <v>1289.385588743615</v>
      </c>
      <c r="V157">
        <v>1105.6594336397613</v>
      </c>
      <c r="Y157">
        <v>998.68173672817693</v>
      </c>
    </row>
    <row r="158" spans="1:25">
      <c r="A158">
        <v>166</v>
      </c>
      <c r="B158">
        <v>5</v>
      </c>
      <c r="C158">
        <v>274.39999999999998</v>
      </c>
      <c r="D158">
        <v>29.62</v>
      </c>
      <c r="E158">
        <v>3.975903614457831</v>
      </c>
      <c r="F158">
        <v>1975</v>
      </c>
      <c r="G158" s="20">
        <v>1881</v>
      </c>
      <c r="H158">
        <v>2377.8326284677601</v>
      </c>
      <c r="I158">
        <v>2377.8326940414499</v>
      </c>
      <c r="J158">
        <v>2377.8475103902879</v>
      </c>
      <c r="K158">
        <v>1906.7645909061191</v>
      </c>
      <c r="L158">
        <v>1896.21612557808</v>
      </c>
      <c r="M158">
        <v>1889.724433775413</v>
      </c>
      <c r="N158">
        <v>1913.665045161767</v>
      </c>
      <c r="O158">
        <v>1914.7845450177761</v>
      </c>
      <c r="P158">
        <v>1896.591189075092</v>
      </c>
      <c r="Q158" s="20">
        <v>1787.076821126034</v>
      </c>
      <c r="R158" s="20">
        <v>1886.075268554687</v>
      </c>
      <c r="S158">
        <v>1890.9269775390626</v>
      </c>
      <c r="T158">
        <v>1814.8103786117317</v>
      </c>
      <c r="U158">
        <v>1690.3437290330673</v>
      </c>
      <c r="V158">
        <v>1489.3102909377585</v>
      </c>
      <c r="W158">
        <v>1541.9718731273672</v>
      </c>
      <c r="X158">
        <v>1514.976847697214</v>
      </c>
      <c r="Y158">
        <v>1219.312908405215</v>
      </c>
    </row>
    <row r="159" spans="1:25">
      <c r="A159">
        <v>168.8</v>
      </c>
      <c r="B159">
        <v>5</v>
      </c>
      <c r="C159">
        <v>200.2</v>
      </c>
      <c r="D159">
        <v>33.4</v>
      </c>
      <c r="E159">
        <v>1.8068720379146921</v>
      </c>
      <c r="F159">
        <v>1966</v>
      </c>
      <c r="G159" s="20">
        <v>1892.0979945173449</v>
      </c>
      <c r="H159">
        <v>2130.420034632135</v>
      </c>
      <c r="I159">
        <v>2130.4203883733012</v>
      </c>
      <c r="J159">
        <v>2130.5032184684292</v>
      </c>
      <c r="K159">
        <v>1994.980641336839</v>
      </c>
      <c r="L159">
        <v>1840.3431021124179</v>
      </c>
      <c r="M159">
        <v>1901.122549970554</v>
      </c>
      <c r="N159">
        <v>1750.9328706386559</v>
      </c>
      <c r="O159">
        <v>1825.935348942359</v>
      </c>
      <c r="P159">
        <v>1696.761477055406</v>
      </c>
      <c r="Q159" s="20">
        <v>1771.6310627749799</v>
      </c>
      <c r="R159" s="20">
        <v>1816.0916015625</v>
      </c>
      <c r="S159">
        <v>1619.022216796875</v>
      </c>
      <c r="T159">
        <v>1903.6709490293961</v>
      </c>
      <c r="U159">
        <v>1495.9855181031096</v>
      </c>
      <c r="V159">
        <v>1298.5673642456054</v>
      </c>
      <c r="W159">
        <v>1420.7218933340121</v>
      </c>
      <c r="Y159">
        <v>1141.3971219757409</v>
      </c>
    </row>
    <row r="160" spans="1:25">
      <c r="A160">
        <v>112.56</v>
      </c>
      <c r="B160">
        <v>2.89</v>
      </c>
      <c r="C160">
        <v>360</v>
      </c>
      <c r="D160">
        <v>22.309379285694259</v>
      </c>
      <c r="E160">
        <v>3.020611229566454</v>
      </c>
      <c r="F160">
        <v>635</v>
      </c>
      <c r="G160" s="20">
        <v>727.04013131265276</v>
      </c>
      <c r="H160">
        <v>200.43673339202789</v>
      </c>
      <c r="I160">
        <v>200.43709057697231</v>
      </c>
      <c r="J160">
        <v>200.48413516777811</v>
      </c>
      <c r="K160">
        <v>670.16285714285709</v>
      </c>
      <c r="L160">
        <v>715.89871197329944</v>
      </c>
      <c r="M160">
        <v>728.31191884968905</v>
      </c>
      <c r="N160">
        <v>711.30180893061413</v>
      </c>
      <c r="O160">
        <v>709.97074003642524</v>
      </c>
      <c r="P160">
        <v>706.65534943782882</v>
      </c>
      <c r="Q160" s="20">
        <v>780.92366842939998</v>
      </c>
      <c r="R160" s="20">
        <v>708.06997070312502</v>
      </c>
      <c r="S160">
        <v>753.2044677734375</v>
      </c>
      <c r="T160">
        <v>845.94794688390505</v>
      </c>
      <c r="U160">
        <v>780.48405768437078</v>
      </c>
      <c r="V160">
        <v>695.54170952238189</v>
      </c>
      <c r="W160">
        <v>673.27617689457327</v>
      </c>
      <c r="Y160">
        <v>544.6326271225729</v>
      </c>
    </row>
    <row r="161" spans="1:25">
      <c r="A161">
        <v>393</v>
      </c>
      <c r="B161">
        <v>9.3800000000000008</v>
      </c>
      <c r="C161">
        <v>312</v>
      </c>
      <c r="D161">
        <v>73.2</v>
      </c>
      <c r="E161">
        <v>2</v>
      </c>
      <c r="F161">
        <v>13936</v>
      </c>
      <c r="G161" s="20">
        <v>14283.5</v>
      </c>
      <c r="H161">
        <v>11533.35050501351</v>
      </c>
      <c r="I161">
        <v>11533.349486263491</v>
      </c>
      <c r="J161">
        <v>11533.312555125431</v>
      </c>
      <c r="K161">
        <v>10459.958241758241</v>
      </c>
      <c r="L161">
        <v>13227.00211087766</v>
      </c>
      <c r="M161">
        <v>14283.5</v>
      </c>
      <c r="N161">
        <v>16554.521719130389</v>
      </c>
      <c r="O161">
        <v>14318.590803577021</v>
      </c>
      <c r="P161">
        <v>14345.6023219751</v>
      </c>
      <c r="Q161" s="20">
        <v>14210.000000000009</v>
      </c>
      <c r="R161" s="20">
        <v>14283.769335937501</v>
      </c>
      <c r="S161">
        <v>14192.197265625</v>
      </c>
      <c r="T161">
        <v>13975.437234036706</v>
      </c>
      <c r="U161">
        <v>13765.736204668126</v>
      </c>
      <c r="V161">
        <v>11714.162930736473</v>
      </c>
    </row>
    <row r="162" spans="1:25">
      <c r="A162">
        <v>150</v>
      </c>
      <c r="B162">
        <v>2</v>
      </c>
      <c r="C162">
        <v>404</v>
      </c>
      <c r="D162">
        <v>68.160000000000011</v>
      </c>
      <c r="E162">
        <v>3</v>
      </c>
      <c r="F162">
        <v>1743</v>
      </c>
      <c r="G162" s="20">
        <v>1948.791092234223</v>
      </c>
      <c r="H162">
        <v>2041.0970501941019</v>
      </c>
      <c r="I162">
        <v>2041.096948260315</v>
      </c>
      <c r="J162">
        <v>2041.0995558542611</v>
      </c>
      <c r="K162">
        <v>1996.4793871248751</v>
      </c>
      <c r="L162">
        <v>1879.188749066908</v>
      </c>
      <c r="M162">
        <v>1874.1102152992639</v>
      </c>
      <c r="N162">
        <v>1983.606616347897</v>
      </c>
      <c r="O162">
        <v>1945.867041767933</v>
      </c>
      <c r="P162">
        <v>1901.616415177491</v>
      </c>
      <c r="Q162" s="20">
        <v>1913.5462345178109</v>
      </c>
      <c r="R162" s="20">
        <v>1893.4725585937499</v>
      </c>
      <c r="S162">
        <v>1888.4216552734374</v>
      </c>
      <c r="T162">
        <v>1849.6877953001963</v>
      </c>
      <c r="U162">
        <v>1749.7122903635461</v>
      </c>
      <c r="V162">
        <v>1475.371804300722</v>
      </c>
      <c r="W162">
        <v>1531.7426029571616</v>
      </c>
      <c r="Y162">
        <v>1441.7747223289939</v>
      </c>
    </row>
    <row r="163" spans="1:25">
      <c r="A163">
        <v>153</v>
      </c>
      <c r="B163">
        <v>1.54</v>
      </c>
      <c r="C163">
        <v>345</v>
      </c>
      <c r="D163">
        <v>73.2</v>
      </c>
      <c r="E163">
        <v>2</v>
      </c>
      <c r="F163">
        <v>1872</v>
      </c>
      <c r="G163" s="20">
        <v>1897.676121609775</v>
      </c>
      <c r="H163">
        <v>1822.942655532825</v>
      </c>
      <c r="I163">
        <v>1822.942662683306</v>
      </c>
      <c r="J163">
        <v>1822.982491083729</v>
      </c>
      <c r="K163">
        <v>2024.015586481074</v>
      </c>
      <c r="L163">
        <v>1918.301040199736</v>
      </c>
      <c r="M163">
        <v>1869.187414624595</v>
      </c>
      <c r="N163">
        <v>1754.6494228213801</v>
      </c>
      <c r="O163">
        <v>1817.1418408481229</v>
      </c>
      <c r="P163">
        <v>1744.0302205394501</v>
      </c>
      <c r="Q163" s="20">
        <v>1913.746648626555</v>
      </c>
      <c r="R163" s="20">
        <v>1852.2923828124999</v>
      </c>
      <c r="S163">
        <v>1662.2260986328124</v>
      </c>
      <c r="T163">
        <v>1872.9624782272008</v>
      </c>
      <c r="U163">
        <v>1701.7173245044639</v>
      </c>
      <c r="V163">
        <v>1412.4237766733079</v>
      </c>
    </row>
    <row r="164" spans="1:25">
      <c r="A164">
        <v>152.5778</v>
      </c>
      <c r="B164">
        <v>4.9276</v>
      </c>
      <c r="C164">
        <v>633.42135131359998</v>
      </c>
      <c r="D164">
        <v>41.989071835200001</v>
      </c>
      <c r="E164">
        <v>1.998335275511903</v>
      </c>
      <c r="F164">
        <v>2909.1369264</v>
      </c>
      <c r="G164" s="20">
        <v>2601.7398456420451</v>
      </c>
      <c r="H164">
        <v>3227.0157303418719</v>
      </c>
      <c r="I164">
        <v>3227.0157834941779</v>
      </c>
      <c r="J164">
        <v>3226.9929567281588</v>
      </c>
      <c r="K164">
        <v>1982.399899622955</v>
      </c>
      <c r="L164">
        <v>2284.801047518898</v>
      </c>
      <c r="M164">
        <v>2688.6108072297889</v>
      </c>
      <c r="N164">
        <v>2373.5583942102248</v>
      </c>
      <c r="O164">
        <v>2533.5430614555789</v>
      </c>
      <c r="P164">
        <v>2494.498509074911</v>
      </c>
      <c r="Q164" s="20">
        <v>2002.96986748624</v>
      </c>
      <c r="R164" s="20">
        <v>2601.3268310546869</v>
      </c>
      <c r="S164">
        <v>2614.6306640624998</v>
      </c>
      <c r="T164">
        <v>2857.3448186888277</v>
      </c>
      <c r="U164">
        <v>2872.4298127693746</v>
      </c>
      <c r="V164">
        <v>2698.92552056972</v>
      </c>
      <c r="W164">
        <v>2562.9296388654225</v>
      </c>
    </row>
    <row r="165" spans="1:25">
      <c r="A165">
        <v>89.32</v>
      </c>
      <c r="B165">
        <v>2.74</v>
      </c>
      <c r="C165">
        <v>360</v>
      </c>
      <c r="D165">
        <v>20.574552700678339</v>
      </c>
      <c r="E165">
        <v>3.8065382892969102</v>
      </c>
      <c r="F165">
        <v>494</v>
      </c>
      <c r="G165" s="20">
        <v>592.01207959519502</v>
      </c>
      <c r="H165">
        <v>-558.12403360632084</v>
      </c>
      <c r="I165">
        <v>-558.12363460517668</v>
      </c>
      <c r="J165">
        <v>-558.09117259348432</v>
      </c>
      <c r="K165">
        <v>569.68279720279725</v>
      </c>
      <c r="L165">
        <v>579.29137073770255</v>
      </c>
      <c r="M165">
        <v>586.75177699972051</v>
      </c>
      <c r="N165">
        <v>573.8363747289502</v>
      </c>
      <c r="O165">
        <v>582.33707215783659</v>
      </c>
      <c r="P165">
        <v>586.39535598058114</v>
      </c>
      <c r="Q165" s="20">
        <v>602.47811763981838</v>
      </c>
      <c r="R165" s="20">
        <v>581.2370483398438</v>
      </c>
      <c r="S165">
        <v>578.51638183593752</v>
      </c>
      <c r="T165">
        <v>597.83844491921047</v>
      </c>
      <c r="U165">
        <v>548.23132633155365</v>
      </c>
      <c r="V165">
        <v>491.53137352998226</v>
      </c>
      <c r="W165">
        <v>463.0462843056518</v>
      </c>
    </row>
    <row r="166" spans="1:25">
      <c r="A166">
        <v>190</v>
      </c>
      <c r="B166">
        <v>1.1100000000000001</v>
      </c>
      <c r="C166">
        <v>203.1</v>
      </c>
      <c r="D166">
        <v>110.3</v>
      </c>
      <c r="E166">
        <v>3.4842105263157901</v>
      </c>
      <c r="F166">
        <v>3140</v>
      </c>
      <c r="G166" s="20">
        <v>3011.1585705336638</v>
      </c>
      <c r="H166">
        <v>3099.03664032713</v>
      </c>
      <c r="I166">
        <v>3099.036208495861</v>
      </c>
      <c r="J166">
        <v>3099.0387810827551</v>
      </c>
      <c r="K166">
        <v>2947.1798201798201</v>
      </c>
      <c r="L166">
        <v>3005.0315533118169</v>
      </c>
      <c r="M166">
        <v>3049.016504854369</v>
      </c>
      <c r="N166">
        <v>3000.479677324598</v>
      </c>
      <c r="O166">
        <v>2976.3986451316418</v>
      </c>
      <c r="P166">
        <v>2959.9370024958512</v>
      </c>
      <c r="Q166" s="20">
        <v>2854.9578940285101</v>
      </c>
      <c r="R166" s="20">
        <v>2983.8516601562501</v>
      </c>
      <c r="S166">
        <v>3055.3948242187498</v>
      </c>
      <c r="T166">
        <v>3001.7977257078078</v>
      </c>
      <c r="U166">
        <v>3247.3117807556073</v>
      </c>
      <c r="V166">
        <v>2644.2462066055159</v>
      </c>
    </row>
    <row r="167" spans="1:25">
      <c r="A167">
        <v>166</v>
      </c>
      <c r="B167">
        <v>5</v>
      </c>
      <c r="C167">
        <v>274.60000000000002</v>
      </c>
      <c r="D167">
        <v>18.720078217418219</v>
      </c>
      <c r="E167">
        <v>2.1084337349397591</v>
      </c>
      <c r="F167">
        <v>1785</v>
      </c>
      <c r="G167" s="20">
        <v>2006.372496759426</v>
      </c>
      <c r="H167">
        <v>2077.5540282628031</v>
      </c>
      <c r="I167">
        <v>2077.5543572532852</v>
      </c>
      <c r="J167">
        <v>2077.6251031743582</v>
      </c>
      <c r="K167">
        <v>1925.909611477842</v>
      </c>
      <c r="L167">
        <v>1968.8104201395679</v>
      </c>
      <c r="M167">
        <v>2017.3481861753501</v>
      </c>
      <c r="N167">
        <v>1870.503791827125</v>
      </c>
      <c r="O167">
        <v>1927.8217530087411</v>
      </c>
      <c r="P167">
        <v>1894.4747197026859</v>
      </c>
      <c r="Q167" s="20">
        <v>1771.4082024304289</v>
      </c>
      <c r="R167" s="20">
        <v>1993.9444824218749</v>
      </c>
      <c r="S167">
        <v>1891.2181396484375</v>
      </c>
      <c r="T167">
        <v>1724.2690619204077</v>
      </c>
      <c r="U167">
        <v>1482.8280124552666</v>
      </c>
      <c r="V167">
        <v>1323.3975976374068</v>
      </c>
      <c r="W167">
        <v>1267.3536181476302</v>
      </c>
    </row>
    <row r="168" spans="1:25">
      <c r="A168">
        <v>108</v>
      </c>
      <c r="B168">
        <v>5.5</v>
      </c>
      <c r="C168">
        <v>383.1</v>
      </c>
      <c r="D168">
        <v>87.04</v>
      </c>
      <c r="E168">
        <v>3</v>
      </c>
      <c r="F168">
        <v>1907</v>
      </c>
      <c r="G168" s="20">
        <v>1914.350383810221</v>
      </c>
      <c r="H168">
        <v>1904.791916375264</v>
      </c>
      <c r="I168">
        <v>1904.7921706231721</v>
      </c>
      <c r="J168">
        <v>1904.7651535177561</v>
      </c>
      <c r="K168">
        <v>1935.50811038961</v>
      </c>
      <c r="L168">
        <v>1931.4584768146069</v>
      </c>
      <c r="M168">
        <v>1915.735955231931</v>
      </c>
      <c r="N168">
        <v>1947.4187146199431</v>
      </c>
      <c r="O168">
        <v>1924.635794097544</v>
      </c>
      <c r="P168">
        <v>1945.0461752142371</v>
      </c>
      <c r="Q168" s="20">
        <v>1901.1426137740809</v>
      </c>
      <c r="R168" s="20">
        <v>1929.817651367187</v>
      </c>
      <c r="S168">
        <v>1892.7033203125</v>
      </c>
      <c r="T168">
        <v>1836.9834096733932</v>
      </c>
      <c r="U168">
        <v>1742.3759568050853</v>
      </c>
      <c r="V168">
        <v>1524.3740774994931</v>
      </c>
    </row>
    <row r="169" spans="1:25">
      <c r="A169">
        <v>140</v>
      </c>
      <c r="B169">
        <v>5</v>
      </c>
      <c r="C169">
        <v>378.3</v>
      </c>
      <c r="D169">
        <v>42.25</v>
      </c>
      <c r="E169">
        <v>6</v>
      </c>
      <c r="F169">
        <v>1539</v>
      </c>
      <c r="G169" s="20">
        <v>1626.045209614502</v>
      </c>
      <c r="H169">
        <v>2243.494909709877</v>
      </c>
      <c r="I169">
        <v>2243.494758434972</v>
      </c>
      <c r="J169">
        <v>2243.4283308672439</v>
      </c>
      <c r="K169">
        <v>1471.754983102205</v>
      </c>
      <c r="L169">
        <v>1572.9264386529451</v>
      </c>
      <c r="M169">
        <v>1602.775702804744</v>
      </c>
      <c r="N169">
        <v>1600.171632272122</v>
      </c>
      <c r="O169">
        <v>1577.5881890404989</v>
      </c>
      <c r="P169">
        <v>1561.7496275356471</v>
      </c>
      <c r="Q169" s="20">
        <v>1537.5788826488911</v>
      </c>
      <c r="R169" s="20">
        <v>1594.728491210938</v>
      </c>
      <c r="S169">
        <v>1587.9701904296876</v>
      </c>
      <c r="T169">
        <v>1605.2489916230427</v>
      </c>
      <c r="U169">
        <v>1860.3798553026393</v>
      </c>
      <c r="V169">
        <v>1645.6480011848641</v>
      </c>
      <c r="W169">
        <v>1694.7713315719634</v>
      </c>
      <c r="X169">
        <v>1439.062303129077</v>
      </c>
      <c r="Y169">
        <v>1295.6794325043691</v>
      </c>
    </row>
    <row r="170" spans="1:25">
      <c r="A170">
        <v>320</v>
      </c>
      <c r="B170">
        <v>7</v>
      </c>
      <c r="C170">
        <v>249.9</v>
      </c>
      <c r="D170">
        <v>46.57</v>
      </c>
      <c r="E170">
        <v>1.375</v>
      </c>
      <c r="F170">
        <v>5900</v>
      </c>
      <c r="G170" s="20">
        <v>6098.249301459824</v>
      </c>
      <c r="H170">
        <v>7860.7835164186563</v>
      </c>
      <c r="I170">
        <v>7860.7830377011433</v>
      </c>
      <c r="J170">
        <v>7860.8226251450078</v>
      </c>
      <c r="K170">
        <v>6359.2836418319039</v>
      </c>
      <c r="L170">
        <v>6149.244817719873</v>
      </c>
      <c r="M170">
        <v>6020.7798558886188</v>
      </c>
      <c r="N170">
        <v>6647.2410452163604</v>
      </c>
      <c r="O170">
        <v>6089.6239925158279</v>
      </c>
      <c r="P170">
        <v>6138.03506021873</v>
      </c>
      <c r="Q170" s="20">
        <v>6685.0287698813754</v>
      </c>
      <c r="R170" s="20">
        <v>5967.2257812500002</v>
      </c>
      <c r="S170">
        <v>6499.13720703125</v>
      </c>
      <c r="T170">
        <v>7047.3185426581967</v>
      </c>
      <c r="U170">
        <v>6211.4224968130529</v>
      </c>
      <c r="V170">
        <v>5312.067074998703</v>
      </c>
      <c r="W170">
        <v>5703.5914048183577</v>
      </c>
      <c r="X170">
        <v>6301.9440988519491</v>
      </c>
      <c r="Y170">
        <v>4966.0842783749968</v>
      </c>
    </row>
    <row r="171" spans="1:25">
      <c r="A171">
        <v>165</v>
      </c>
      <c r="B171">
        <v>2.82</v>
      </c>
      <c r="C171">
        <v>363.3</v>
      </c>
      <c r="D171">
        <v>48.3</v>
      </c>
      <c r="E171">
        <v>3.5181818181818181</v>
      </c>
      <c r="F171">
        <v>1661.6</v>
      </c>
      <c r="G171" s="20">
        <v>1793.3504540455051</v>
      </c>
      <c r="H171">
        <v>2319.441148730536</v>
      </c>
      <c r="I171">
        <v>2319.4410377430331</v>
      </c>
      <c r="J171">
        <v>2319.447956846991</v>
      </c>
      <c r="K171">
        <v>1768.4995310212821</v>
      </c>
      <c r="L171">
        <v>1896.261436577282</v>
      </c>
      <c r="M171">
        <v>1734.25654528371</v>
      </c>
      <c r="N171">
        <v>1880.2566817289271</v>
      </c>
      <c r="O171">
        <v>1737.556867681863</v>
      </c>
      <c r="P171">
        <v>1848.598385907361</v>
      </c>
      <c r="Q171" s="20">
        <v>2032.6699895121669</v>
      </c>
      <c r="R171" s="20">
        <v>1718.089916992187</v>
      </c>
      <c r="S171">
        <v>2133.3896484375</v>
      </c>
      <c r="T171">
        <v>1860.8789076296985</v>
      </c>
      <c r="U171">
        <v>1808.9984367533043</v>
      </c>
      <c r="V171">
        <v>1551.8179378949594</v>
      </c>
      <c r="W171">
        <v>1528.7602536862519</v>
      </c>
      <c r="X171">
        <v>1669.3569348442149</v>
      </c>
      <c r="Y171">
        <v>1419.077745941423</v>
      </c>
    </row>
    <row r="172" spans="1:25">
      <c r="A172">
        <v>282</v>
      </c>
      <c r="B172">
        <v>4.3600000000000003</v>
      </c>
      <c r="C172">
        <v>322</v>
      </c>
      <c r="D172">
        <v>73.2</v>
      </c>
      <c r="E172">
        <v>2</v>
      </c>
      <c r="F172">
        <v>6811</v>
      </c>
      <c r="G172" s="20">
        <v>6620</v>
      </c>
      <c r="H172">
        <v>6638.584606370945</v>
      </c>
      <c r="I172">
        <v>6638.5840020871819</v>
      </c>
      <c r="J172">
        <v>6638.5934346974336</v>
      </c>
      <c r="K172">
        <v>5311.4549999999999</v>
      </c>
      <c r="L172">
        <v>6245.2836928149263</v>
      </c>
      <c r="M172">
        <v>6620</v>
      </c>
      <c r="N172">
        <v>6070.3872551668428</v>
      </c>
      <c r="O172">
        <v>6507.8067131735907</v>
      </c>
      <c r="P172">
        <v>6629.9298464122712</v>
      </c>
      <c r="Q172" s="20">
        <v>6178.5591583424366</v>
      </c>
      <c r="R172" s="20">
        <v>6607.1412109374996</v>
      </c>
      <c r="S172">
        <v>6379.49755859375</v>
      </c>
      <c r="T172">
        <v>6573.0587017891494</v>
      </c>
      <c r="U172">
        <v>6277.3120487445049</v>
      </c>
      <c r="V172">
        <v>5267.7124202719078</v>
      </c>
    </row>
    <row r="173" spans="1:25">
      <c r="A173">
        <v>166</v>
      </c>
      <c r="B173">
        <v>5</v>
      </c>
      <c r="C173">
        <v>274.60000000000002</v>
      </c>
      <c r="D173">
        <v>18.720078217418219</v>
      </c>
      <c r="E173">
        <v>3.975903614457831</v>
      </c>
      <c r="F173">
        <v>1966</v>
      </c>
      <c r="G173" s="20">
        <v>1822.8666666666661</v>
      </c>
      <c r="H173">
        <v>2201.7112712375142</v>
      </c>
      <c r="I173">
        <v>2201.7113761003611</v>
      </c>
      <c r="J173">
        <v>2201.734880382905</v>
      </c>
      <c r="K173">
        <v>1841.8780006482241</v>
      </c>
      <c r="L173">
        <v>1871.054211469376</v>
      </c>
      <c r="M173">
        <v>1871.479410427236</v>
      </c>
      <c r="N173">
        <v>1882.9203776029469</v>
      </c>
      <c r="O173">
        <v>1874.026184442359</v>
      </c>
      <c r="P173">
        <v>1861.620701899986</v>
      </c>
      <c r="Q173" s="20">
        <v>1772.918240836696</v>
      </c>
      <c r="R173" s="20">
        <v>1868.045629882813</v>
      </c>
      <c r="S173">
        <v>1839.0599365234375</v>
      </c>
      <c r="T173">
        <v>1679.9889098782562</v>
      </c>
      <c r="U173">
        <v>1482.8280124552666</v>
      </c>
      <c r="V173">
        <v>1323.3975976374068</v>
      </c>
      <c r="W173">
        <v>1267.3536181476302</v>
      </c>
    </row>
    <row r="174" spans="1:25">
      <c r="A174">
        <v>198</v>
      </c>
      <c r="B174">
        <v>3.2</v>
      </c>
      <c r="C174">
        <v>265</v>
      </c>
      <c r="D174">
        <v>24.638000000000002</v>
      </c>
      <c r="E174">
        <v>4.2171717171717171</v>
      </c>
      <c r="F174">
        <v>1560</v>
      </c>
      <c r="G174" s="20">
        <v>1517.514335512855</v>
      </c>
      <c r="H174">
        <v>2803.4138110868398</v>
      </c>
      <c r="I174">
        <v>2803.4136019649141</v>
      </c>
      <c r="J174">
        <v>2803.436965256667</v>
      </c>
      <c r="K174">
        <v>1652.1625150804541</v>
      </c>
      <c r="L174">
        <v>1606.0233329417881</v>
      </c>
      <c r="M174">
        <v>1573.860214239792</v>
      </c>
      <c r="N174">
        <v>1450.364098616406</v>
      </c>
      <c r="O174">
        <v>1506.9820364875879</v>
      </c>
      <c r="P174">
        <v>1527.128585906785</v>
      </c>
      <c r="Q174" s="20">
        <v>1652.715091125242</v>
      </c>
      <c r="R174" s="20">
        <v>1532.827221679687</v>
      </c>
      <c r="S174">
        <v>1683.3360107421875</v>
      </c>
      <c r="T174">
        <v>1551.0366498651833</v>
      </c>
      <c r="U174">
        <v>1551.089563190395</v>
      </c>
      <c r="V174">
        <v>1344.9891408123701</v>
      </c>
      <c r="W174">
        <v>1273.6477112530474</v>
      </c>
      <c r="Y174">
        <v>1179.1064599069771</v>
      </c>
    </row>
    <row r="175" spans="1:25">
      <c r="A175">
        <v>204</v>
      </c>
      <c r="B175">
        <v>2</v>
      </c>
      <c r="C175">
        <v>235.3596</v>
      </c>
      <c r="D175">
        <v>38.906903210000003</v>
      </c>
      <c r="E175">
        <v>4.117647058823529</v>
      </c>
      <c r="F175">
        <v>1691.6471299402101</v>
      </c>
      <c r="G175" s="20">
        <v>1591.276648380252</v>
      </c>
      <c r="H175">
        <v>2786.186454871337</v>
      </c>
      <c r="I175">
        <v>2786.186138716309</v>
      </c>
      <c r="J175">
        <v>2786.214788517575</v>
      </c>
      <c r="K175">
        <v>1668.9087156465989</v>
      </c>
      <c r="L175">
        <v>1653.01038713964</v>
      </c>
      <c r="M175">
        <v>1638.663360632584</v>
      </c>
      <c r="N175">
        <v>1692.416052042355</v>
      </c>
      <c r="O175">
        <v>1643.682622438849</v>
      </c>
      <c r="P175">
        <v>1663.082582648886</v>
      </c>
      <c r="Q175" s="20">
        <v>1635.3657340245479</v>
      </c>
      <c r="R175" s="20">
        <v>1590.622607421875</v>
      </c>
      <c r="S175">
        <v>1758.28466796875</v>
      </c>
      <c r="T175">
        <v>1678.7328136980336</v>
      </c>
      <c r="U175">
        <v>1706.2215365639395</v>
      </c>
      <c r="V175">
        <v>1425.3149636869898</v>
      </c>
      <c r="W175">
        <v>1458.95028348397</v>
      </c>
      <c r="Y175">
        <v>1435.569269957663</v>
      </c>
    </row>
    <row r="176" spans="1:25">
      <c r="A176">
        <v>63.5</v>
      </c>
      <c r="B176">
        <v>1.25</v>
      </c>
      <c r="C176">
        <v>250</v>
      </c>
      <c r="D176">
        <v>33.92</v>
      </c>
      <c r="E176">
        <v>5.5118110236220472</v>
      </c>
      <c r="F176">
        <v>150.41999999999999</v>
      </c>
      <c r="G176" s="20">
        <v>174.7310635911191</v>
      </c>
      <c r="H176">
        <v>-1840.270188490879</v>
      </c>
      <c r="I176">
        <v>-1840.269873053732</v>
      </c>
      <c r="J176">
        <v>-1840.253211782783</v>
      </c>
      <c r="K176">
        <v>204.34807142857139</v>
      </c>
      <c r="L176">
        <v>159.29360390344951</v>
      </c>
      <c r="M176">
        <v>163.3776699029128</v>
      </c>
      <c r="N176">
        <v>143.2930098371659</v>
      </c>
      <c r="O176">
        <v>152.01412836784891</v>
      </c>
      <c r="P176">
        <v>147.57984101305769</v>
      </c>
      <c r="Q176" s="20">
        <v>169.65169376188561</v>
      </c>
      <c r="R176" s="20">
        <v>154.11643066406251</v>
      </c>
      <c r="S176">
        <v>141.24172439575196</v>
      </c>
      <c r="T176">
        <v>185.45677466386877</v>
      </c>
      <c r="U176">
        <v>198.13441315355419</v>
      </c>
      <c r="V176">
        <v>170.72126600940658</v>
      </c>
      <c r="W176">
        <v>172.55294416842474</v>
      </c>
      <c r="X176">
        <v>172.28701918208429</v>
      </c>
      <c r="Y176">
        <v>151.88104007703001</v>
      </c>
    </row>
    <row r="177" spans="1:25">
      <c r="A177">
        <v>96</v>
      </c>
      <c r="B177">
        <v>5</v>
      </c>
      <c r="C177">
        <v>410.89863500000001</v>
      </c>
      <c r="D177">
        <v>38.255741649999997</v>
      </c>
      <c r="E177">
        <v>4.166666666666667</v>
      </c>
      <c r="F177">
        <v>1171.894678422349</v>
      </c>
      <c r="G177" s="20">
        <v>1125.313090786314</v>
      </c>
      <c r="H177">
        <v>765.08188005326758</v>
      </c>
      <c r="I177">
        <v>765.0821967117148</v>
      </c>
      <c r="J177">
        <v>765.0635177258913</v>
      </c>
      <c r="K177">
        <v>1125.5453588267151</v>
      </c>
      <c r="L177">
        <v>1123.134862244327</v>
      </c>
      <c r="M177">
        <v>1125.299897696116</v>
      </c>
      <c r="N177">
        <v>1123.0822248035649</v>
      </c>
      <c r="O177">
        <v>1126.39696045656</v>
      </c>
      <c r="P177">
        <v>1137.830557058988</v>
      </c>
      <c r="Q177" s="20">
        <v>1053.052077628699</v>
      </c>
      <c r="R177" s="20">
        <v>1123.9752441406249</v>
      </c>
      <c r="S177">
        <v>1190.0914550781249</v>
      </c>
      <c r="T177">
        <v>1159.4044572731516</v>
      </c>
      <c r="U177">
        <v>1173.7249340525675</v>
      </c>
      <c r="V177">
        <v>1051.7459257754322</v>
      </c>
      <c r="W177">
        <v>1013.6562992831724</v>
      </c>
      <c r="X177">
        <v>962.23973986070666</v>
      </c>
      <c r="Y177">
        <v>786.75952457634367</v>
      </c>
    </row>
    <row r="178" spans="1:25">
      <c r="A178">
        <v>166</v>
      </c>
      <c r="B178">
        <v>5</v>
      </c>
      <c r="C178">
        <v>274.58620000000002</v>
      </c>
      <c r="D178">
        <v>28.813899030000002</v>
      </c>
      <c r="E178">
        <v>3.012048192771084</v>
      </c>
      <c r="F178">
        <v>2000.556605842336</v>
      </c>
      <c r="G178" s="20">
        <v>2018.8188318687901</v>
      </c>
      <c r="H178">
        <v>2301.312804829498</v>
      </c>
      <c r="I178">
        <v>2301.3129888535909</v>
      </c>
      <c r="J178">
        <v>2301.3527923413449</v>
      </c>
      <c r="K178">
        <v>1979.4978483692321</v>
      </c>
      <c r="L178">
        <v>1964.7036741820041</v>
      </c>
      <c r="M178">
        <v>1999.2269584204389</v>
      </c>
      <c r="N178">
        <v>2005.584861565967</v>
      </c>
      <c r="O178">
        <v>1945.6515415636591</v>
      </c>
      <c r="P178">
        <v>1972.1709535767111</v>
      </c>
      <c r="Q178" s="20">
        <v>1787.063118145019</v>
      </c>
      <c r="R178" s="20">
        <v>2045.605590820312</v>
      </c>
      <c r="S178">
        <v>2005.776171875</v>
      </c>
      <c r="T178">
        <v>1773.0396930416682</v>
      </c>
      <c r="U178">
        <v>1675.6992109586636</v>
      </c>
      <c r="V178">
        <v>1477.6876647227541</v>
      </c>
      <c r="W178">
        <v>1523.1379338125168</v>
      </c>
      <c r="X178">
        <v>1572.2471663066731</v>
      </c>
      <c r="Y178">
        <v>1210.5840590843391</v>
      </c>
    </row>
    <row r="179" spans="1:25">
      <c r="A179">
        <v>190</v>
      </c>
      <c r="B179">
        <v>1.94</v>
      </c>
      <c r="C179">
        <v>256.39999999999998</v>
      </c>
      <c r="D179">
        <v>41</v>
      </c>
      <c r="E179">
        <v>3.492105263157895</v>
      </c>
      <c r="F179">
        <v>1678.2</v>
      </c>
      <c r="G179" s="20">
        <v>1621.5843471741071</v>
      </c>
      <c r="H179">
        <v>2387.4344271848508</v>
      </c>
      <c r="I179">
        <v>2387.4342417098651</v>
      </c>
      <c r="J179">
        <v>2387.474499295698</v>
      </c>
      <c r="K179">
        <v>1942.180457373242</v>
      </c>
      <c r="L179">
        <v>1826.8141196537299</v>
      </c>
      <c r="M179">
        <v>1691.9289475067901</v>
      </c>
      <c r="N179">
        <v>1687.6266650651251</v>
      </c>
      <c r="O179">
        <v>1647.405187378547</v>
      </c>
      <c r="P179">
        <v>1664.1631615745921</v>
      </c>
      <c r="Q179" s="20">
        <v>1701.7240300234189</v>
      </c>
      <c r="R179" s="20">
        <v>1681.276831054688</v>
      </c>
      <c r="S179">
        <v>1634.000439453125</v>
      </c>
      <c r="T179">
        <v>1657.5465833230742</v>
      </c>
      <c r="U179">
        <v>1591.5562016276394</v>
      </c>
      <c r="V179">
        <v>1332.5795044399997</v>
      </c>
      <c r="W179">
        <v>1368.4928752296232</v>
      </c>
      <c r="Y179">
        <v>1336.8017234355441</v>
      </c>
    </row>
    <row r="180" spans="1:25">
      <c r="A180">
        <v>47.28</v>
      </c>
      <c r="B180">
        <v>1.87</v>
      </c>
      <c r="C180">
        <v>360</v>
      </c>
      <c r="D180">
        <v>20.574552700678339</v>
      </c>
      <c r="E180">
        <v>7.1912013536379016</v>
      </c>
      <c r="F180">
        <v>178</v>
      </c>
      <c r="G180" s="20">
        <v>187.50484732395151</v>
      </c>
      <c r="H180">
        <v>-1914.5526934785551</v>
      </c>
      <c r="I180">
        <v>-1914.552493318236</v>
      </c>
      <c r="J180">
        <v>-1914.5944200766751</v>
      </c>
      <c r="K180">
        <v>188.4628321678322</v>
      </c>
      <c r="L180">
        <v>180.47532577838831</v>
      </c>
      <c r="M180">
        <v>176.91440129449839</v>
      </c>
      <c r="N180">
        <v>182.82013193051159</v>
      </c>
      <c r="O180">
        <v>182.34032799914311</v>
      </c>
      <c r="P180">
        <v>180.65857413390191</v>
      </c>
      <c r="Q180" s="20">
        <v>182.57812197945171</v>
      </c>
      <c r="R180" s="20">
        <v>178.65602111816409</v>
      </c>
      <c r="S180">
        <v>204.06147460937501</v>
      </c>
      <c r="T180">
        <v>143.52652123691905</v>
      </c>
      <c r="U180">
        <v>186.21594691347599</v>
      </c>
      <c r="V180">
        <v>167.71937833880455</v>
      </c>
      <c r="W180">
        <v>153.82159455756351</v>
      </c>
    </row>
    <row r="181" spans="1:25">
      <c r="A181">
        <v>113.7</v>
      </c>
      <c r="B181">
        <v>2.0499999999999998</v>
      </c>
      <c r="C181">
        <v>269.89999999999998</v>
      </c>
      <c r="D181">
        <v>130.80000000000001</v>
      </c>
      <c r="E181">
        <v>3.0079155672823221</v>
      </c>
      <c r="F181">
        <v>1535</v>
      </c>
      <c r="G181" s="20">
        <v>1507.694018948049</v>
      </c>
      <c r="H181">
        <v>1455.1301645337651</v>
      </c>
      <c r="I181">
        <v>1455.1301557113759</v>
      </c>
      <c r="J181">
        <v>1455.116359960009</v>
      </c>
      <c r="K181">
        <v>1185.368979365079</v>
      </c>
      <c r="L181">
        <v>1334.1489334478069</v>
      </c>
      <c r="M181">
        <v>1537.562677762367</v>
      </c>
      <c r="N181">
        <v>1424.439483173561</v>
      </c>
      <c r="O181">
        <v>1447.4631393467159</v>
      </c>
      <c r="P181">
        <v>1405.4995300614071</v>
      </c>
      <c r="Q181" s="20">
        <v>1260.548266254531</v>
      </c>
      <c r="R181" s="20">
        <v>1452.4564453124999</v>
      </c>
      <c r="S181">
        <v>1685.8428955078125</v>
      </c>
      <c r="T181">
        <v>1538.0064462515254</v>
      </c>
      <c r="U181">
        <v>1513.475420747181</v>
      </c>
      <c r="V181">
        <v>1277.5837872142058</v>
      </c>
    </row>
    <row r="182" spans="1:25">
      <c r="A182">
        <v>217.34</v>
      </c>
      <c r="B182">
        <v>2.96</v>
      </c>
      <c r="C182">
        <v>342</v>
      </c>
      <c r="D182">
        <v>46.763208585700767</v>
      </c>
      <c r="E182">
        <v>3.0367166651329711</v>
      </c>
      <c r="F182">
        <v>2352</v>
      </c>
      <c r="G182" s="20">
        <v>2104.3903335665868</v>
      </c>
      <c r="H182">
        <v>3897.603257272242</v>
      </c>
      <c r="I182">
        <v>3897.602924710714</v>
      </c>
      <c r="J182">
        <v>3897.6205671337648</v>
      </c>
      <c r="K182">
        <v>2320.052101178022</v>
      </c>
      <c r="L182">
        <v>2655.7786580356251</v>
      </c>
      <c r="M182">
        <v>2269.0733656957932</v>
      </c>
      <c r="N182">
        <v>2891.628647470201</v>
      </c>
      <c r="O182">
        <v>2481.717938965141</v>
      </c>
      <c r="P182">
        <v>2628.258169108497</v>
      </c>
      <c r="Q182" s="20">
        <v>2410.7366831995678</v>
      </c>
      <c r="R182" s="20">
        <v>2404.832275390625</v>
      </c>
      <c r="S182">
        <v>2780.706298828125</v>
      </c>
      <c r="T182">
        <v>2676.2104095494892</v>
      </c>
      <c r="U182">
        <v>2746.1749135815558</v>
      </c>
      <c r="V182">
        <v>2334.1006237091933</v>
      </c>
      <c r="W182">
        <v>2299.2873961175865</v>
      </c>
      <c r="X182">
        <v>2608.9164723502772</v>
      </c>
      <c r="Y182">
        <v>2219.483664591758</v>
      </c>
    </row>
    <row r="183" spans="1:25">
      <c r="A183">
        <v>114.3</v>
      </c>
      <c r="B183">
        <v>3.6</v>
      </c>
      <c r="C183">
        <v>428</v>
      </c>
      <c r="D183">
        <v>168.29499999999999</v>
      </c>
      <c r="E183">
        <v>2.1872265966754161</v>
      </c>
      <c r="F183">
        <v>2633</v>
      </c>
      <c r="G183" s="20">
        <v>2570.8387212368461</v>
      </c>
      <c r="H183">
        <v>2997.5832158270268</v>
      </c>
      <c r="I183">
        <v>2997.5831139919942</v>
      </c>
      <c r="J183">
        <v>2997.5139971700191</v>
      </c>
      <c r="K183">
        <v>2183.5999538239539</v>
      </c>
      <c r="L183">
        <v>2514.4182135519418</v>
      </c>
      <c r="M183">
        <v>2571.3791454679608</v>
      </c>
      <c r="N183">
        <v>2361.6802184894432</v>
      </c>
      <c r="O183">
        <v>2450.6000172033182</v>
      </c>
      <c r="P183">
        <v>2361.7911829847731</v>
      </c>
      <c r="Q183" s="20">
        <v>2219.0549113634288</v>
      </c>
      <c r="R183" s="20">
        <v>2509.04736328125</v>
      </c>
      <c r="S183">
        <v>2386.1770996093751</v>
      </c>
      <c r="T183">
        <v>2404.0065785439556</v>
      </c>
      <c r="U183">
        <v>2287.7674893108083</v>
      </c>
      <c r="V183">
        <v>2013.0176099728565</v>
      </c>
    </row>
    <row r="184" spans="1:25">
      <c r="A184">
        <v>318.3</v>
      </c>
      <c r="B184">
        <v>10.37</v>
      </c>
      <c r="C184">
        <v>335</v>
      </c>
      <c r="D184">
        <v>24.2</v>
      </c>
      <c r="E184">
        <v>3.0003141690229338</v>
      </c>
      <c r="F184">
        <v>6565</v>
      </c>
      <c r="G184" s="20">
        <v>7161.5405776201924</v>
      </c>
      <c r="H184">
        <v>8775.3026132323903</v>
      </c>
      <c r="I184">
        <v>8775.3021189096489</v>
      </c>
      <c r="J184">
        <v>8775.2763503391616</v>
      </c>
      <c r="K184">
        <v>7872.2790006491441</v>
      </c>
      <c r="L184">
        <v>7344.1073818276946</v>
      </c>
      <c r="M184">
        <v>7454.136893203884</v>
      </c>
      <c r="N184">
        <v>8763.7852074964267</v>
      </c>
      <c r="O184">
        <v>7412.3075728431086</v>
      </c>
      <c r="P184">
        <v>7133.7385410370262</v>
      </c>
      <c r="Q184" s="20">
        <v>7310.8745882954536</v>
      </c>
      <c r="R184" s="20">
        <v>7075.052734375</v>
      </c>
      <c r="S184">
        <v>6953.5662109374998</v>
      </c>
      <c r="T184">
        <v>6833.0053970609515</v>
      </c>
      <c r="U184">
        <v>7127.1646399323408</v>
      </c>
      <c r="V184">
        <v>6363.4121752671672</v>
      </c>
      <c r="W184">
        <v>5978.8356718296418</v>
      </c>
      <c r="Y184">
        <v>4928.9879140323574</v>
      </c>
    </row>
    <row r="185" spans="1:25">
      <c r="A185">
        <v>219</v>
      </c>
      <c r="B185">
        <v>4.7300000000000004</v>
      </c>
      <c r="C185">
        <v>350</v>
      </c>
      <c r="D185">
        <v>41.9</v>
      </c>
      <c r="E185">
        <v>2.968036529680365</v>
      </c>
      <c r="F185">
        <v>3600</v>
      </c>
      <c r="G185" s="20">
        <v>2934.6666666666652</v>
      </c>
      <c r="H185">
        <v>4384.1931814164554</v>
      </c>
      <c r="I185">
        <v>4384.192940097726</v>
      </c>
      <c r="J185">
        <v>4384.2019255648247</v>
      </c>
      <c r="K185">
        <v>3164.9304895104901</v>
      </c>
      <c r="L185">
        <v>3047.2476700799211</v>
      </c>
      <c r="M185">
        <v>2959.2260081988229</v>
      </c>
      <c r="N185">
        <v>3185.473510710025</v>
      </c>
      <c r="O185">
        <v>3189.1395703731209</v>
      </c>
      <c r="P185">
        <v>3185.4344143172939</v>
      </c>
      <c r="Q185" s="20">
        <v>3115.124609374011</v>
      </c>
      <c r="R185" s="20">
        <v>3019.8702148437501</v>
      </c>
      <c r="S185">
        <v>3158.974365234375</v>
      </c>
      <c r="T185">
        <v>3143.8127361034904</v>
      </c>
      <c r="U185">
        <v>3250.2251645826641</v>
      </c>
      <c r="V185">
        <v>2822.4197566122689</v>
      </c>
      <c r="W185">
        <v>2983.6636115299175</v>
      </c>
      <c r="X185">
        <v>3047.0970755581511</v>
      </c>
      <c r="Y185">
        <v>2467.6244709154862</v>
      </c>
    </row>
    <row r="186" spans="1:25">
      <c r="A186">
        <v>108</v>
      </c>
      <c r="B186">
        <v>4</v>
      </c>
      <c r="C186">
        <v>324</v>
      </c>
      <c r="D186">
        <v>28.99</v>
      </c>
      <c r="E186">
        <v>3.137777777777778</v>
      </c>
      <c r="F186">
        <v>1117.2</v>
      </c>
      <c r="G186" s="20">
        <v>1055.888717289972</v>
      </c>
      <c r="H186">
        <v>355.13950198780452</v>
      </c>
      <c r="I186">
        <v>355.13992697336738</v>
      </c>
      <c r="J186">
        <v>355.17951491644948</v>
      </c>
      <c r="K186">
        <v>985.37676200585736</v>
      </c>
      <c r="L186">
        <v>1031.571917418886</v>
      </c>
      <c r="M186">
        <v>1055.4374358002799</v>
      </c>
      <c r="N186">
        <v>1035.7359231655721</v>
      </c>
      <c r="O186">
        <v>1036.700425095064</v>
      </c>
      <c r="P186">
        <v>983.78732892070002</v>
      </c>
      <c r="Q186" s="20">
        <v>960.66680373925738</v>
      </c>
      <c r="R186" s="20">
        <v>1045.5748657226561</v>
      </c>
      <c r="S186">
        <v>998.0455322265625</v>
      </c>
      <c r="T186">
        <v>997.73656830612958</v>
      </c>
      <c r="U186">
        <v>913.65393480766397</v>
      </c>
      <c r="V186">
        <v>813.83885039556628</v>
      </c>
      <c r="W186">
        <v>812.72268445864995</v>
      </c>
      <c r="X186">
        <v>833.08834960300851</v>
      </c>
      <c r="Y186">
        <v>635.448288115266</v>
      </c>
    </row>
    <row r="187" spans="1:25">
      <c r="A187">
        <v>129</v>
      </c>
      <c r="B187">
        <v>3</v>
      </c>
      <c r="C187">
        <v>306</v>
      </c>
      <c r="D187">
        <v>44.24</v>
      </c>
      <c r="E187">
        <v>3</v>
      </c>
      <c r="F187">
        <v>1093</v>
      </c>
      <c r="G187" s="20">
        <v>1107.8313283245921</v>
      </c>
      <c r="H187">
        <v>924.81853547167248</v>
      </c>
      <c r="I187">
        <v>924.81876629342662</v>
      </c>
      <c r="J187">
        <v>924.85799071944894</v>
      </c>
      <c r="K187">
        <v>1162.9019230769229</v>
      </c>
      <c r="L187">
        <v>1120.5043329404191</v>
      </c>
      <c r="M187">
        <v>1104.17957493932</v>
      </c>
      <c r="N187">
        <v>1147.8516641698579</v>
      </c>
      <c r="O187">
        <v>1122.542483819431</v>
      </c>
      <c r="P187">
        <v>1171.043983825288</v>
      </c>
      <c r="Q187" s="20">
        <v>1186.8082959460669</v>
      </c>
      <c r="R187" s="20">
        <v>1112.742797851562</v>
      </c>
      <c r="S187">
        <v>1157.2762939453125</v>
      </c>
      <c r="T187">
        <v>1199.9901815441549</v>
      </c>
      <c r="U187">
        <v>1114.3508744029168</v>
      </c>
      <c r="V187">
        <v>963.81271434850123</v>
      </c>
      <c r="W187">
        <v>1075.253381337752</v>
      </c>
      <c r="X187">
        <v>1048.8239819392379</v>
      </c>
      <c r="Y187">
        <v>856.27749971558706</v>
      </c>
    </row>
    <row r="188" spans="1:25">
      <c r="A188">
        <v>166</v>
      </c>
      <c r="B188">
        <v>5</v>
      </c>
      <c r="C188">
        <v>274.60000000000002</v>
      </c>
      <c r="D188">
        <v>16.643024288945991</v>
      </c>
      <c r="E188">
        <v>3.975903614457831</v>
      </c>
      <c r="F188">
        <v>1705</v>
      </c>
      <c r="G188" s="20">
        <v>1715</v>
      </c>
      <c r="H188">
        <v>2168.0197848453799</v>
      </c>
      <c r="I188">
        <v>2168.0198972248349</v>
      </c>
      <c r="J188">
        <v>2168.0450655357081</v>
      </c>
      <c r="K188">
        <v>1841.8780006482241</v>
      </c>
      <c r="L188">
        <v>1739.16324668369</v>
      </c>
      <c r="M188">
        <v>1723.836278266469</v>
      </c>
      <c r="N188">
        <v>1702.41664745665</v>
      </c>
      <c r="O188">
        <v>1738.1848520553051</v>
      </c>
      <c r="P188">
        <v>1769.5107744149909</v>
      </c>
      <c r="Q188" s="20">
        <v>1765.8111162467981</v>
      </c>
      <c r="R188" s="20">
        <v>1716.949194335938</v>
      </c>
      <c r="S188">
        <v>1826.6291259765626</v>
      </c>
      <c r="T188">
        <v>1657.2986040334981</v>
      </c>
      <c r="U188">
        <v>1443.1283466600025</v>
      </c>
      <c r="V188">
        <v>1291.6378650011957</v>
      </c>
      <c r="W188">
        <v>1211.7429393247573</v>
      </c>
    </row>
    <row r="189" spans="1:25">
      <c r="A189">
        <v>60</v>
      </c>
      <c r="B189">
        <v>2</v>
      </c>
      <c r="C189">
        <v>404</v>
      </c>
      <c r="D189">
        <v>72</v>
      </c>
      <c r="E189">
        <v>3</v>
      </c>
      <c r="F189">
        <v>432</v>
      </c>
      <c r="G189" s="20">
        <v>475.8552494359771</v>
      </c>
      <c r="H189">
        <v>-766.89194496249615</v>
      </c>
      <c r="I189">
        <v>-766.8915311608024</v>
      </c>
      <c r="J189">
        <v>-766.88089915467958</v>
      </c>
      <c r="K189">
        <v>390.60259523809532</v>
      </c>
      <c r="L189">
        <v>473.54047878271888</v>
      </c>
      <c r="M189">
        <v>439.49378640776712</v>
      </c>
      <c r="N189">
        <v>388.12306672737412</v>
      </c>
      <c r="O189">
        <v>418.0109017720647</v>
      </c>
      <c r="P189">
        <v>434.53011330843412</v>
      </c>
      <c r="Q189" s="20">
        <v>427.22240509093831</v>
      </c>
      <c r="R189" s="20">
        <v>438.11350708007808</v>
      </c>
      <c r="S189">
        <v>408.22025756835939</v>
      </c>
      <c r="T189">
        <v>506.56900210319463</v>
      </c>
      <c r="U189">
        <v>415.84533106072456</v>
      </c>
      <c r="V189">
        <v>361.63739161036477</v>
      </c>
      <c r="W189">
        <v>404.29786488131248</v>
      </c>
    </row>
    <row r="190" spans="1:25">
      <c r="A190">
        <v>107.9</v>
      </c>
      <c r="B190">
        <v>4.32</v>
      </c>
      <c r="C190">
        <v>264.89999999999998</v>
      </c>
      <c r="D190">
        <v>18.399999999999999</v>
      </c>
      <c r="E190">
        <v>3.9295644114921222</v>
      </c>
      <c r="F190">
        <v>734</v>
      </c>
      <c r="G190" s="20">
        <v>874.68164407586119</v>
      </c>
      <c r="H190">
        <v>119.1875547448751</v>
      </c>
      <c r="I190">
        <v>119.1879845358991</v>
      </c>
      <c r="J190">
        <v>119.2269702693351</v>
      </c>
      <c r="K190">
        <v>888.75244715089866</v>
      </c>
      <c r="L190">
        <v>831.04854716004888</v>
      </c>
      <c r="M190">
        <v>817.05807323117665</v>
      </c>
      <c r="N190">
        <v>874.41314259026842</v>
      </c>
      <c r="O190">
        <v>837.22615633322073</v>
      </c>
      <c r="P190">
        <v>832.1875645779586</v>
      </c>
      <c r="Q190" s="20">
        <v>797.9786503301217</v>
      </c>
      <c r="R190" s="20">
        <v>831.2375610351562</v>
      </c>
      <c r="S190">
        <v>1010.480712890625</v>
      </c>
      <c r="T190">
        <v>925.79800562681339</v>
      </c>
      <c r="U190">
        <v>745.64511476014093</v>
      </c>
      <c r="V190">
        <v>669.16040200612156</v>
      </c>
      <c r="W190">
        <v>633.23043088627492</v>
      </c>
    </row>
    <row r="191" spans="1:25">
      <c r="A191">
        <v>105</v>
      </c>
      <c r="B191">
        <v>2.06</v>
      </c>
      <c r="C191">
        <v>264.89999999999998</v>
      </c>
      <c r="D191">
        <v>18.399999999999999</v>
      </c>
      <c r="E191">
        <v>2.952380952380953</v>
      </c>
      <c r="F191">
        <v>539</v>
      </c>
      <c r="G191" s="20">
        <v>578.94433198552542</v>
      </c>
      <c r="H191">
        <v>-663.57737524548997</v>
      </c>
      <c r="I191">
        <v>-663.5769150743381</v>
      </c>
      <c r="J191">
        <v>-663.49714030827181</v>
      </c>
      <c r="K191">
        <v>492.28309090909102</v>
      </c>
      <c r="L191">
        <v>519.88900900732301</v>
      </c>
      <c r="M191">
        <v>532.30563876602639</v>
      </c>
      <c r="N191">
        <v>495.65903690605671</v>
      </c>
      <c r="O191">
        <v>498.22378051676532</v>
      </c>
      <c r="P191">
        <v>473.60908928527698</v>
      </c>
      <c r="Q191" s="20">
        <v>566.95587357926536</v>
      </c>
      <c r="R191" s="20">
        <v>481.35459594726558</v>
      </c>
      <c r="S191">
        <v>506.9665466308594</v>
      </c>
      <c r="T191">
        <v>552.08505524533621</v>
      </c>
      <c r="U191">
        <v>432.95740284870266</v>
      </c>
      <c r="V191">
        <v>381.6374513948457</v>
      </c>
      <c r="W191">
        <v>357.98531970556729</v>
      </c>
    </row>
    <row r="192" spans="1:25">
      <c r="A192">
        <v>219.1</v>
      </c>
      <c r="B192">
        <v>5</v>
      </c>
      <c r="C192">
        <v>380</v>
      </c>
      <c r="D192">
        <v>50.052</v>
      </c>
      <c r="E192">
        <v>2.7384755819260609</v>
      </c>
      <c r="F192">
        <v>3118</v>
      </c>
      <c r="G192" s="20">
        <v>2732.7778985184791</v>
      </c>
      <c r="H192">
        <v>4681.6794931671011</v>
      </c>
      <c r="I192">
        <v>4681.6792382786107</v>
      </c>
      <c r="J192">
        <v>4681.6789325620184</v>
      </c>
      <c r="K192">
        <v>5021.1888203329381</v>
      </c>
      <c r="L192">
        <v>4938.0686030021561</v>
      </c>
      <c r="M192">
        <v>3753.1157660627382</v>
      </c>
      <c r="N192">
        <v>4301.8777337589727</v>
      </c>
      <c r="O192">
        <v>4150.4254329853702</v>
      </c>
      <c r="P192">
        <v>3880.1857294610149</v>
      </c>
      <c r="Q192" s="20">
        <v>4604.0468009540073</v>
      </c>
      <c r="R192" s="20">
        <v>4520.0646484375002</v>
      </c>
      <c r="S192">
        <v>3235.3668457031249</v>
      </c>
      <c r="T192">
        <v>3653.4978716328233</v>
      </c>
      <c r="U192">
        <v>3789.0853343888957</v>
      </c>
      <c r="V192">
        <v>3285.7766272050726</v>
      </c>
      <c r="W192">
        <v>3511.0434526994241</v>
      </c>
      <c r="X192">
        <v>3568.656986136109</v>
      </c>
      <c r="Y192">
        <v>2889.661095775878</v>
      </c>
    </row>
    <row r="193" spans="1:25">
      <c r="A193">
        <v>166</v>
      </c>
      <c r="B193">
        <v>5</v>
      </c>
      <c r="C193">
        <v>274.58620000000002</v>
      </c>
      <c r="D193">
        <v>28.813899030000002</v>
      </c>
      <c r="E193">
        <v>3.975903614457831</v>
      </c>
      <c r="F193">
        <v>1696.5504549545301</v>
      </c>
      <c r="G193" s="20">
        <v>1961.33000572778</v>
      </c>
      <c r="H193">
        <v>2365.3939624938639</v>
      </c>
      <c r="I193">
        <v>2365.3940308391789</v>
      </c>
      <c r="J193">
        <v>2365.4094515457559</v>
      </c>
      <c r="K193">
        <v>1906.7645909061191</v>
      </c>
      <c r="L193">
        <v>1938.398295574443</v>
      </c>
      <c r="M193">
        <v>1945.0635908304309</v>
      </c>
      <c r="N193">
        <v>1946.8946053021571</v>
      </c>
      <c r="O193">
        <v>1915.9651633262961</v>
      </c>
      <c r="P193">
        <v>1901.9711544209399</v>
      </c>
      <c r="Q193" s="20">
        <v>1786.7855423650749</v>
      </c>
      <c r="R193" s="20">
        <v>1945.371362304687</v>
      </c>
      <c r="S193">
        <v>1887.723681640625</v>
      </c>
      <c r="T193">
        <v>1804.7347691137124</v>
      </c>
      <c r="U193">
        <v>1675.6992109586636</v>
      </c>
      <c r="V193">
        <v>1477.6876647227541</v>
      </c>
      <c r="W193">
        <v>1523.1379338125168</v>
      </c>
      <c r="X193">
        <v>1501.418336556176</v>
      </c>
      <c r="Y193">
        <v>1205.386929415351</v>
      </c>
    </row>
    <row r="194" spans="1:25">
      <c r="A194">
        <v>108</v>
      </c>
      <c r="B194">
        <v>8</v>
      </c>
      <c r="C194">
        <v>351</v>
      </c>
      <c r="D194">
        <v>78.800000000000011</v>
      </c>
      <c r="E194">
        <v>3</v>
      </c>
      <c r="F194">
        <v>1902</v>
      </c>
      <c r="G194" s="20">
        <v>1894.6417220184651</v>
      </c>
      <c r="H194">
        <v>2353.0426204180189</v>
      </c>
      <c r="I194">
        <v>2353.0430445835509</v>
      </c>
      <c r="J194">
        <v>2353.0123946404201</v>
      </c>
      <c r="K194">
        <v>1820.039097979798</v>
      </c>
      <c r="L194">
        <v>1889.0148447720519</v>
      </c>
      <c r="M194">
        <v>1901.7138106796119</v>
      </c>
      <c r="N194">
        <v>1888.960038761579</v>
      </c>
      <c r="O194">
        <v>1906.7262110926979</v>
      </c>
      <c r="P194">
        <v>1886.730395418859</v>
      </c>
      <c r="Q194" s="20">
        <v>1838.9602043931191</v>
      </c>
      <c r="R194" s="20">
        <v>1920.843701171875</v>
      </c>
      <c r="S194">
        <v>1856.1778320312501</v>
      </c>
      <c r="T194">
        <v>1973.0579970610438</v>
      </c>
      <c r="U194">
        <v>1952.9296040810675</v>
      </c>
      <c r="V194">
        <v>1726.2356896586409</v>
      </c>
    </row>
    <row r="195" spans="1:25">
      <c r="A195">
        <v>121</v>
      </c>
      <c r="B195">
        <v>12</v>
      </c>
      <c r="C195">
        <v>294.1995</v>
      </c>
      <c r="D195">
        <v>38.906903210000003</v>
      </c>
      <c r="E195">
        <v>4.1322314049586772</v>
      </c>
      <c r="F195">
        <v>2588.9556075606702</v>
      </c>
      <c r="G195" s="20">
        <v>2529.7128875575322</v>
      </c>
      <c r="H195">
        <v>3108.2612519694362</v>
      </c>
      <c r="I195">
        <v>3108.2618365240451</v>
      </c>
      <c r="J195">
        <v>3108.2177373990421</v>
      </c>
      <c r="K195">
        <v>2778.929595247143</v>
      </c>
      <c r="L195">
        <v>2695.1818035012229</v>
      </c>
      <c r="M195">
        <v>2508.905469962931</v>
      </c>
      <c r="N195">
        <v>2264.0886799418781</v>
      </c>
      <c r="O195">
        <v>2278.2744188960119</v>
      </c>
      <c r="P195">
        <v>2432.5764338409558</v>
      </c>
      <c r="Q195" s="20">
        <v>2390.0696885166399</v>
      </c>
      <c r="R195" s="20">
        <v>2410.2146484374998</v>
      </c>
      <c r="S195">
        <v>2538.4541503906248</v>
      </c>
      <c r="T195">
        <v>2418.0252482001674</v>
      </c>
      <c r="U195">
        <v>2245.9740228832652</v>
      </c>
      <c r="V195">
        <v>2011.5586489922716</v>
      </c>
      <c r="W195">
        <v>1805.9542020476551</v>
      </c>
      <c r="X195">
        <v>1782.472955989515</v>
      </c>
      <c r="Y195">
        <v>1464.914350590243</v>
      </c>
    </row>
    <row r="196" spans="1:25">
      <c r="A196">
        <v>151</v>
      </c>
      <c r="B196">
        <v>3.2</v>
      </c>
      <c r="C196">
        <v>265</v>
      </c>
      <c r="D196">
        <v>24.638000000000002</v>
      </c>
      <c r="E196">
        <v>4.1059602649006619</v>
      </c>
      <c r="F196">
        <v>1129</v>
      </c>
      <c r="G196" s="20">
        <v>1149.445884946135</v>
      </c>
      <c r="H196">
        <v>1297.097632889589</v>
      </c>
      <c r="I196">
        <v>1297.097713700487</v>
      </c>
      <c r="J196">
        <v>1297.129687419264</v>
      </c>
      <c r="K196">
        <v>1044.9055451006061</v>
      </c>
      <c r="L196">
        <v>1074.913611793914</v>
      </c>
      <c r="M196">
        <v>1119.2677494453601</v>
      </c>
      <c r="N196">
        <v>1106.899240910393</v>
      </c>
      <c r="O196">
        <v>1114.328534003218</v>
      </c>
      <c r="P196">
        <v>1103.3484949366939</v>
      </c>
      <c r="Q196" s="20">
        <v>1003.507755511107</v>
      </c>
      <c r="R196" s="20">
        <v>1156.186291503906</v>
      </c>
      <c r="S196">
        <v>1210.05732421875</v>
      </c>
      <c r="T196">
        <v>1145.1035777470604</v>
      </c>
      <c r="U196">
        <v>1042.4800278694515</v>
      </c>
      <c r="V196">
        <v>912.54361566855118</v>
      </c>
      <c r="W196">
        <v>854.22986070189768</v>
      </c>
      <c r="Y196">
        <v>769.67515264457961</v>
      </c>
    </row>
    <row r="197" spans="1:25">
      <c r="A197">
        <v>300</v>
      </c>
      <c r="B197">
        <v>3</v>
      </c>
      <c r="C197">
        <v>274.39999999999998</v>
      </c>
      <c r="D197">
        <v>9.9</v>
      </c>
      <c r="E197">
        <v>3.333333333333333</v>
      </c>
      <c r="F197">
        <v>2636</v>
      </c>
      <c r="G197" s="20">
        <v>2969.3345149595689</v>
      </c>
      <c r="H197">
        <v>5735.3884099013203</v>
      </c>
      <c r="I197">
        <v>5735.3877433916514</v>
      </c>
      <c r="J197">
        <v>5735.4319895743811</v>
      </c>
      <c r="K197">
        <v>3105.981033099928</v>
      </c>
      <c r="L197">
        <v>3139.0184162043188</v>
      </c>
      <c r="M197">
        <v>3113.0317952156188</v>
      </c>
      <c r="N197">
        <v>2757.0856943578069</v>
      </c>
      <c r="O197">
        <v>2514.2795078687259</v>
      </c>
      <c r="P197">
        <v>2297.6268235655871</v>
      </c>
      <c r="Q197" s="20">
        <v>3030.6634523591911</v>
      </c>
      <c r="R197" s="20">
        <v>2406.1183105468749</v>
      </c>
      <c r="S197">
        <v>2642.4664550781249</v>
      </c>
      <c r="T197">
        <v>2071.3936742700116</v>
      </c>
      <c r="U197">
        <v>1916.382665060509</v>
      </c>
      <c r="V197">
        <v>1688.2193161694556</v>
      </c>
    </row>
    <row r="198" spans="1:25">
      <c r="A198">
        <v>158.69999999999999</v>
      </c>
      <c r="B198">
        <v>0.9</v>
      </c>
      <c r="C198">
        <v>221</v>
      </c>
      <c r="D198">
        <v>18.7</v>
      </c>
      <c r="E198">
        <v>2.8355387523629489</v>
      </c>
      <c r="F198">
        <v>699.7</v>
      </c>
      <c r="G198" s="20">
        <v>931.07357375045717</v>
      </c>
      <c r="H198">
        <v>574.99298521107426</v>
      </c>
      <c r="I198">
        <v>574.99312326154507</v>
      </c>
      <c r="J198">
        <v>575.0868265048282</v>
      </c>
      <c r="K198">
        <v>1130.8336896759349</v>
      </c>
      <c r="L198">
        <v>1028.042916203221</v>
      </c>
      <c r="M198">
        <v>916.9972975291505</v>
      </c>
      <c r="N198">
        <v>793.87580556888224</v>
      </c>
      <c r="O198">
        <v>818.09098791880638</v>
      </c>
      <c r="P198">
        <v>736.80597978201627</v>
      </c>
      <c r="Q198" s="20">
        <v>946.24082070104157</v>
      </c>
      <c r="R198" s="20">
        <v>782.0530883789063</v>
      </c>
      <c r="S198">
        <v>811.26318359375</v>
      </c>
      <c r="T198">
        <v>743.67558092606941</v>
      </c>
      <c r="U198">
        <v>521.29492156015215</v>
      </c>
      <c r="V198">
        <v>437.03751251596941</v>
      </c>
    </row>
    <row r="199" spans="1:25">
      <c r="A199">
        <v>267.39999999999998</v>
      </c>
      <c r="B199">
        <v>7</v>
      </c>
      <c r="C199">
        <v>461</v>
      </c>
      <c r="D199">
        <v>48.4</v>
      </c>
      <c r="E199">
        <v>5.9835452505609581</v>
      </c>
      <c r="F199">
        <v>5190</v>
      </c>
      <c r="G199" s="20">
        <v>4929.9355372401233</v>
      </c>
      <c r="H199">
        <v>7241.4624492016419</v>
      </c>
      <c r="I199">
        <v>7241.4615552767846</v>
      </c>
      <c r="J199">
        <v>7241.3425898955729</v>
      </c>
      <c r="K199">
        <v>6268.8015264337091</v>
      </c>
      <c r="L199">
        <v>5308.6864373265053</v>
      </c>
      <c r="M199">
        <v>5100.5716300420336</v>
      </c>
      <c r="N199">
        <v>5411.9960402393272</v>
      </c>
      <c r="O199">
        <v>5128.2887800412818</v>
      </c>
      <c r="P199">
        <v>5124.2398884575996</v>
      </c>
      <c r="Q199" s="20">
        <v>5233.2269853953958</v>
      </c>
      <c r="R199" s="20">
        <v>5112.6774414062502</v>
      </c>
      <c r="S199">
        <v>5303.0634765625</v>
      </c>
      <c r="T199">
        <v>5569.7638502094314</v>
      </c>
      <c r="U199">
        <v>6717.5525009153407</v>
      </c>
      <c r="V199">
        <v>5897.7647165137305</v>
      </c>
      <c r="W199">
        <v>6009.4624846190309</v>
      </c>
      <c r="Y199">
        <v>4780.6492315822752</v>
      </c>
    </row>
    <row r="200" spans="1:25">
      <c r="A200">
        <v>216.3</v>
      </c>
      <c r="B200">
        <v>4.5</v>
      </c>
      <c r="C200">
        <v>371.9</v>
      </c>
      <c r="D200">
        <v>39.770000000000003</v>
      </c>
      <c r="E200">
        <v>3</v>
      </c>
      <c r="F200">
        <v>2740.4</v>
      </c>
      <c r="G200" s="20">
        <v>2843.137965586086</v>
      </c>
      <c r="H200">
        <v>4276.9358427391662</v>
      </c>
      <c r="I200">
        <v>4276.9355934811992</v>
      </c>
      <c r="J200">
        <v>4276.9425337712664</v>
      </c>
      <c r="K200">
        <v>2121.021663852096</v>
      </c>
      <c r="L200">
        <v>2748.7535311024558</v>
      </c>
      <c r="M200">
        <v>2819.179448364996</v>
      </c>
      <c r="N200">
        <v>2628.7377447494341</v>
      </c>
      <c r="O200">
        <v>2763.4067207518929</v>
      </c>
      <c r="P200">
        <v>2700.6744225097791</v>
      </c>
      <c r="Q200" s="20">
        <v>2791.316166746366</v>
      </c>
      <c r="R200" s="20">
        <v>2776.3312500000002</v>
      </c>
      <c r="S200">
        <v>3003.3223144531248</v>
      </c>
      <c r="T200">
        <v>3035.6555142272787</v>
      </c>
      <c r="U200">
        <v>3146.2538899804922</v>
      </c>
      <c r="V200">
        <v>2739.2737418665824</v>
      </c>
      <c r="W200">
        <v>2543.7206642849769</v>
      </c>
      <c r="X200">
        <v>2937.6111453873091</v>
      </c>
      <c r="Y200">
        <v>2369.311273758532</v>
      </c>
    </row>
    <row r="201" spans="1:25">
      <c r="A201">
        <v>152</v>
      </c>
      <c r="B201">
        <v>7</v>
      </c>
      <c r="C201">
        <v>283.22000000000003</v>
      </c>
      <c r="D201">
        <v>42.9</v>
      </c>
      <c r="E201">
        <v>6</v>
      </c>
      <c r="F201">
        <v>1693.4</v>
      </c>
      <c r="G201" s="20">
        <v>1726.0288613846089</v>
      </c>
      <c r="H201">
        <v>2864.8712381878181</v>
      </c>
      <c r="I201">
        <v>2864.871180273391</v>
      </c>
      <c r="J201">
        <v>2864.810013074336</v>
      </c>
      <c r="K201">
        <v>3037.4625103548392</v>
      </c>
      <c r="L201">
        <v>2817.95172650517</v>
      </c>
      <c r="M201">
        <v>2607.7399935593221</v>
      </c>
      <c r="N201">
        <v>1779.8664802430039</v>
      </c>
      <c r="O201">
        <v>1850.7297249518399</v>
      </c>
      <c r="P201">
        <v>1881.2717611186949</v>
      </c>
      <c r="Q201" s="20">
        <v>2233.2586937329388</v>
      </c>
      <c r="R201" s="20">
        <v>2098.1221435546881</v>
      </c>
      <c r="S201">
        <v>1735.1999267578126</v>
      </c>
      <c r="T201">
        <v>1870.1255471687964</v>
      </c>
      <c r="U201">
        <v>2104.6960056188032</v>
      </c>
      <c r="V201">
        <v>1858.5651400043594</v>
      </c>
      <c r="W201">
        <v>1918.2908599875336</v>
      </c>
      <c r="X201">
        <v>1669.769761063706</v>
      </c>
      <c r="Y201">
        <v>1475.9987990692921</v>
      </c>
    </row>
    <row r="202" spans="1:25">
      <c r="A202">
        <v>101.7016</v>
      </c>
      <c r="B202">
        <v>3.0733999999999999</v>
      </c>
      <c r="C202">
        <v>605.08389889279999</v>
      </c>
      <c r="D202">
        <v>31.1643029056</v>
      </c>
      <c r="E202">
        <v>1.9985014985014991</v>
      </c>
      <c r="F202">
        <v>1067.5731840000001</v>
      </c>
      <c r="G202" s="20">
        <v>1916.241707218205</v>
      </c>
      <c r="H202">
        <v>818.93176092704448</v>
      </c>
      <c r="I202">
        <v>818.93208948474216</v>
      </c>
      <c r="J202">
        <v>818.94340426173039</v>
      </c>
      <c r="K202">
        <v>741.52119047619055</v>
      </c>
      <c r="L202">
        <v>786.41698485672748</v>
      </c>
      <c r="M202">
        <v>808.77460748113447</v>
      </c>
      <c r="N202">
        <v>867.57089110223694</v>
      </c>
      <c r="O202">
        <v>1074.1213278670709</v>
      </c>
      <c r="P202">
        <v>959.96599427467424</v>
      </c>
      <c r="Q202" s="20">
        <v>800.67145786706419</v>
      </c>
      <c r="R202" s="20">
        <v>887.59367675781255</v>
      </c>
      <c r="S202">
        <v>1162.0178161621093</v>
      </c>
      <c r="T202">
        <v>1299.0062688462901</v>
      </c>
      <c r="U202">
        <v>1099.3360508490891</v>
      </c>
      <c r="V202">
        <v>1039.3385801999186</v>
      </c>
      <c r="W202">
        <v>962.21634920917484</v>
      </c>
    </row>
    <row r="203" spans="1:25">
      <c r="A203">
        <v>101.3</v>
      </c>
      <c r="B203">
        <v>1.5</v>
      </c>
      <c r="C203">
        <v>264.89999999999998</v>
      </c>
      <c r="D203">
        <v>21.9</v>
      </c>
      <c r="E203">
        <v>3.0602171767028632</v>
      </c>
      <c r="F203">
        <v>370</v>
      </c>
      <c r="G203" s="20">
        <v>535.19116700866209</v>
      </c>
      <c r="H203">
        <v>-872.57973593406462</v>
      </c>
      <c r="I203">
        <v>-872.57930535841331</v>
      </c>
      <c r="J203">
        <v>-872.50071310247188</v>
      </c>
      <c r="K203">
        <v>475.47935557753527</v>
      </c>
      <c r="L203">
        <v>457.78202857965027</v>
      </c>
      <c r="M203">
        <v>470.4619990467196</v>
      </c>
      <c r="N203">
        <v>402.41651853886259</v>
      </c>
      <c r="O203">
        <v>410.38134067168971</v>
      </c>
      <c r="P203">
        <v>384.590196632497</v>
      </c>
      <c r="Q203" s="20">
        <v>448.40679825008391</v>
      </c>
      <c r="R203" s="20">
        <v>387.19705200195313</v>
      </c>
      <c r="S203">
        <v>452.63473510742188</v>
      </c>
      <c r="T203">
        <v>474.77060197645187</v>
      </c>
      <c r="U203">
        <v>368.02589688452275</v>
      </c>
      <c r="V203">
        <v>319.45171541854955</v>
      </c>
      <c r="W203">
        <v>316.27253641994781</v>
      </c>
      <c r="Y203">
        <v>280.67576209838592</v>
      </c>
    </row>
    <row r="204" spans="1:25">
      <c r="A204">
        <v>190</v>
      </c>
      <c r="B204">
        <v>1.1299999999999999</v>
      </c>
      <c r="C204">
        <v>185.7</v>
      </c>
      <c r="D204">
        <v>41</v>
      </c>
      <c r="E204">
        <v>3.4973684210526321</v>
      </c>
      <c r="F204">
        <v>1376.6</v>
      </c>
      <c r="G204" s="20">
        <v>1725.3455349501301</v>
      </c>
      <c r="H204">
        <v>1921.8226245308481</v>
      </c>
      <c r="I204">
        <v>1921.8224564308521</v>
      </c>
      <c r="J204">
        <v>1921.8839499988201</v>
      </c>
      <c r="K204">
        <v>1942.180457373242</v>
      </c>
      <c r="L204">
        <v>1721.7503577138009</v>
      </c>
      <c r="M204">
        <v>1655.883278658908</v>
      </c>
      <c r="N204">
        <v>1416.0324134642119</v>
      </c>
      <c r="O204">
        <v>1521.9932419469151</v>
      </c>
      <c r="P204">
        <v>1554.7088819360631</v>
      </c>
      <c r="Q204" s="20">
        <v>1674.868919520464</v>
      </c>
      <c r="R204" s="20">
        <v>1475.907153320313</v>
      </c>
      <c r="S204">
        <v>1448.6662353515626</v>
      </c>
      <c r="T204">
        <v>1514.7338744290494</v>
      </c>
      <c r="U204">
        <v>1336.6835157602677</v>
      </c>
      <c r="V204">
        <v>1094.5963705416013</v>
      </c>
      <c r="Y204">
        <v>1178.981963522878</v>
      </c>
    </row>
    <row r="205" spans="1:25">
      <c r="A205">
        <v>165</v>
      </c>
      <c r="B205">
        <v>2.81</v>
      </c>
      <c r="C205">
        <v>350</v>
      </c>
      <c r="D205">
        <v>68.7</v>
      </c>
      <c r="E205">
        <v>3.0909090909090908</v>
      </c>
      <c r="F205">
        <v>2160</v>
      </c>
      <c r="G205" s="20">
        <v>2119.7557340833469</v>
      </c>
      <c r="H205">
        <v>2573.6760662974261</v>
      </c>
      <c r="I205">
        <v>2573.67594270162</v>
      </c>
      <c r="J205">
        <v>2573.6803572978301</v>
      </c>
      <c r="K205">
        <v>2231.70787962038</v>
      </c>
      <c r="L205">
        <v>2192.5166256483981</v>
      </c>
      <c r="M205">
        <v>2130.2060418681908</v>
      </c>
      <c r="N205">
        <v>2267.072621522831</v>
      </c>
      <c r="O205">
        <v>2175.4122199491671</v>
      </c>
      <c r="P205">
        <v>2228.6645363653238</v>
      </c>
      <c r="Q205" s="20">
        <v>2144.671680199358</v>
      </c>
      <c r="R205" s="20">
        <v>2118.2357421874999</v>
      </c>
      <c r="S205">
        <v>2254.4188476562499</v>
      </c>
      <c r="T205">
        <v>2242.1604646729056</v>
      </c>
      <c r="U205">
        <v>2182.4378491621478</v>
      </c>
      <c r="V205">
        <v>1846.3949074996165</v>
      </c>
      <c r="W205">
        <v>1883.5421472510131</v>
      </c>
      <c r="Y205">
        <v>1782.7716040493231</v>
      </c>
    </row>
    <row r="206" spans="1:25">
      <c r="A206">
        <v>474</v>
      </c>
      <c r="B206">
        <v>7.42</v>
      </c>
      <c r="C206">
        <v>317</v>
      </c>
      <c r="D206">
        <v>73.2</v>
      </c>
      <c r="E206">
        <v>2</v>
      </c>
      <c r="F206">
        <v>17787</v>
      </c>
      <c r="G206" s="20">
        <v>18174.708867304129</v>
      </c>
      <c r="H206">
        <v>13591.39828048307</v>
      </c>
      <c r="I206">
        <v>13591.396690992029</v>
      </c>
      <c r="J206">
        <v>13591.362281911561</v>
      </c>
      <c r="K206">
        <v>19626.797619047618</v>
      </c>
      <c r="L206">
        <v>17745.428287087911</v>
      </c>
      <c r="M206">
        <v>17933.799605179051</v>
      </c>
      <c r="N206">
        <v>18218.203089801529</v>
      </c>
      <c r="O206">
        <v>19531.289634295372</v>
      </c>
      <c r="P206">
        <v>18315.654839289269</v>
      </c>
      <c r="Q206" s="20">
        <v>16934.212445590641</v>
      </c>
      <c r="R206" s="20">
        <v>17900.151953125001</v>
      </c>
      <c r="S206">
        <v>18158.057812499999</v>
      </c>
      <c r="T206">
        <v>17424.772207056063</v>
      </c>
      <c r="U206">
        <v>17706.136430741499</v>
      </c>
      <c r="V206">
        <v>14857.006278679282</v>
      </c>
    </row>
    <row r="207" spans="1:25">
      <c r="A207">
        <v>219</v>
      </c>
      <c r="B207">
        <v>4</v>
      </c>
      <c r="C207">
        <v>325</v>
      </c>
      <c r="D207">
        <v>52.3</v>
      </c>
      <c r="E207">
        <v>4.5662100456621006</v>
      </c>
      <c r="F207">
        <v>1980</v>
      </c>
      <c r="G207" s="20">
        <v>2493.7207765353978</v>
      </c>
      <c r="H207">
        <v>4371.6435329495771</v>
      </c>
      <c r="I207">
        <v>4371.643048148786</v>
      </c>
      <c r="J207">
        <v>4371.6139124623887</v>
      </c>
      <c r="K207">
        <v>2457.0341543772529</v>
      </c>
      <c r="L207">
        <v>2493.5427328649462</v>
      </c>
      <c r="M207">
        <v>2362.7201584388531</v>
      </c>
      <c r="N207">
        <v>2547.8891946243448</v>
      </c>
      <c r="O207">
        <v>2402.1149518124621</v>
      </c>
      <c r="P207">
        <v>2526.0383103876152</v>
      </c>
      <c r="Q207" s="20">
        <v>2487.7109463714519</v>
      </c>
      <c r="R207" s="20">
        <v>2392.1893554687499</v>
      </c>
      <c r="S207">
        <v>2774.6703124999999</v>
      </c>
      <c r="T207">
        <v>2954.312405687283</v>
      </c>
      <c r="U207">
        <v>3251.2407560048327</v>
      </c>
      <c r="V207">
        <v>2776.7536374961442</v>
      </c>
      <c r="W207">
        <v>2700.3149863766425</v>
      </c>
      <c r="X207">
        <v>2897.013155799661</v>
      </c>
      <c r="Y207">
        <v>2561.4650082033659</v>
      </c>
    </row>
    <row r="208" spans="1:25">
      <c r="A208">
        <v>114.3</v>
      </c>
      <c r="B208">
        <v>6</v>
      </c>
      <c r="C208">
        <v>342.95</v>
      </c>
      <c r="D208">
        <v>32.68</v>
      </c>
      <c r="E208">
        <v>6.99912510936133</v>
      </c>
      <c r="F208">
        <v>1057.0999999999999</v>
      </c>
      <c r="G208" s="20">
        <v>961.99501259740919</v>
      </c>
      <c r="H208">
        <v>1490.8276801795789</v>
      </c>
      <c r="I208">
        <v>1490.8276685008841</v>
      </c>
      <c r="J208">
        <v>1490.7477198998311</v>
      </c>
      <c r="K208">
        <v>1382.5949380416589</v>
      </c>
      <c r="L208">
        <v>1079.4935727567549</v>
      </c>
      <c r="M208">
        <v>1026.6323107275271</v>
      </c>
      <c r="N208">
        <v>1060.983483244544</v>
      </c>
      <c r="O208">
        <v>1001.7670540672081</v>
      </c>
      <c r="P208">
        <v>987.19734986929166</v>
      </c>
      <c r="Q208" s="20">
        <v>1227.418088591025</v>
      </c>
      <c r="R208" s="20">
        <v>1008.801000976562</v>
      </c>
      <c r="S208">
        <v>1164.0616943359375</v>
      </c>
      <c r="T208">
        <v>1165.9513329433407</v>
      </c>
      <c r="U208">
        <v>1402.7734383410998</v>
      </c>
      <c r="V208">
        <v>1256.5559629253569</v>
      </c>
      <c r="W208">
        <v>1211.6899772895686</v>
      </c>
      <c r="X208">
        <v>1005.43086666131</v>
      </c>
      <c r="Y208">
        <v>921.9664798142079</v>
      </c>
    </row>
    <row r="209" spans="1:25">
      <c r="A209">
        <v>200</v>
      </c>
      <c r="B209">
        <v>3</v>
      </c>
      <c r="C209">
        <v>303.5</v>
      </c>
      <c r="D209">
        <v>32.457457285750117</v>
      </c>
      <c r="E209">
        <v>3</v>
      </c>
      <c r="F209">
        <v>2320</v>
      </c>
      <c r="G209" s="20">
        <v>2277.9</v>
      </c>
      <c r="H209">
        <v>2989.4739197374029</v>
      </c>
      <c r="I209">
        <v>2989.473777332295</v>
      </c>
      <c r="J209">
        <v>2989.514240516065</v>
      </c>
      <c r="K209">
        <v>2071.2750764429429</v>
      </c>
      <c r="L209">
        <v>2225.1531487145648</v>
      </c>
      <c r="M209">
        <v>2277.7448714585821</v>
      </c>
      <c r="N209">
        <v>2101.6163301756051</v>
      </c>
      <c r="O209">
        <v>2151.4235904520051</v>
      </c>
      <c r="P209">
        <v>2149.4818921297042</v>
      </c>
      <c r="Q209" s="20">
        <v>2089.2187603735142</v>
      </c>
      <c r="R209" s="20">
        <v>2278.5836425781249</v>
      </c>
      <c r="S209">
        <v>2137.7105957031249</v>
      </c>
      <c r="T209">
        <v>1875.8897190306823</v>
      </c>
      <c r="U209">
        <v>1872.2924152519502</v>
      </c>
      <c r="V209">
        <v>1611.0297999413374</v>
      </c>
      <c r="W209">
        <v>1553.4708277038726</v>
      </c>
      <c r="X209">
        <v>1784.835372819605</v>
      </c>
      <c r="Y209">
        <v>1463.8083000570621</v>
      </c>
    </row>
    <row r="210" spans="1:25">
      <c r="A210">
        <v>166</v>
      </c>
      <c r="B210">
        <v>5</v>
      </c>
      <c r="C210">
        <v>274.39999999999998</v>
      </c>
      <c r="D210">
        <v>29.62</v>
      </c>
      <c r="E210">
        <v>3.975903614457831</v>
      </c>
      <c r="F210">
        <v>1862</v>
      </c>
      <c r="G210" s="20">
        <v>1881</v>
      </c>
      <c r="H210">
        <v>2377.8326284677601</v>
      </c>
      <c r="I210">
        <v>2377.8326940414499</v>
      </c>
      <c r="J210">
        <v>2377.8475103902879</v>
      </c>
      <c r="K210">
        <v>1906.7645909061191</v>
      </c>
      <c r="L210">
        <v>1896.21612557808</v>
      </c>
      <c r="M210">
        <v>1889.724433775413</v>
      </c>
      <c r="N210">
        <v>1913.665045161767</v>
      </c>
      <c r="O210">
        <v>1914.7845450177761</v>
      </c>
      <c r="P210">
        <v>1896.591189075092</v>
      </c>
      <c r="Q210" s="20">
        <v>1787.076821126034</v>
      </c>
      <c r="R210" s="20">
        <v>1886.075268554687</v>
      </c>
      <c r="S210">
        <v>1890.9269775390626</v>
      </c>
      <c r="T210">
        <v>1814.8103786117317</v>
      </c>
      <c r="U210">
        <v>1690.3437290330673</v>
      </c>
      <c r="V210">
        <v>1489.3102909377585</v>
      </c>
      <c r="W210">
        <v>1541.9718731273672</v>
      </c>
      <c r="X210">
        <v>1514.976847697214</v>
      </c>
      <c r="Y210">
        <v>1219.312908405215</v>
      </c>
    </row>
    <row r="211" spans="1:25">
      <c r="A211">
        <v>204</v>
      </c>
      <c r="B211">
        <v>2</v>
      </c>
      <c r="C211">
        <v>235.3596</v>
      </c>
      <c r="D211">
        <v>27.755761495000002</v>
      </c>
      <c r="E211">
        <v>4.117647058823529</v>
      </c>
      <c r="F211">
        <v>1294.4778037803351</v>
      </c>
      <c r="G211" s="20">
        <v>1487.077862343039</v>
      </c>
      <c r="H211">
        <v>2605.3059614967519</v>
      </c>
      <c r="I211">
        <v>2605.3056856963608</v>
      </c>
      <c r="J211">
        <v>2605.343269216416</v>
      </c>
      <c r="K211">
        <v>1427.333887317488</v>
      </c>
      <c r="L211">
        <v>1583.4698480939869</v>
      </c>
      <c r="M211">
        <v>1535.7290486953459</v>
      </c>
      <c r="N211">
        <v>1564.187525218885</v>
      </c>
      <c r="O211">
        <v>1522.922991812022</v>
      </c>
      <c r="P211">
        <v>1560.390828782372</v>
      </c>
      <c r="Q211" s="20">
        <v>1545.228957847565</v>
      </c>
      <c r="R211" s="20">
        <v>1503.649877929688</v>
      </c>
      <c r="S211">
        <v>1445.9390380859375</v>
      </c>
      <c r="T211">
        <v>1357.0458910166549</v>
      </c>
      <c r="U211">
        <v>1355.8980876541127</v>
      </c>
      <c r="V211">
        <v>1145.0562045591284</v>
      </c>
      <c r="W211">
        <v>1141.9921601581309</v>
      </c>
      <c r="Y211">
        <v>1111.343147581722</v>
      </c>
    </row>
    <row r="212" spans="1:25">
      <c r="A212">
        <v>121</v>
      </c>
      <c r="B212">
        <v>12</v>
      </c>
      <c r="C212">
        <v>294.1995</v>
      </c>
      <c r="D212">
        <v>9.8488185949999991</v>
      </c>
      <c r="E212">
        <v>4.1322314049586772</v>
      </c>
      <c r="F212">
        <v>2333.982706816058</v>
      </c>
      <c r="G212" s="20">
        <v>2393.1929665540888</v>
      </c>
      <c r="H212">
        <v>2636.9157327378521</v>
      </c>
      <c r="I212">
        <v>2636.9164224501651</v>
      </c>
      <c r="J212">
        <v>2636.895603161714</v>
      </c>
      <c r="K212">
        <v>2437.2475772827788</v>
      </c>
      <c r="L212">
        <v>2411.9374877779178</v>
      </c>
      <c r="M212">
        <v>2395.2742694950462</v>
      </c>
      <c r="N212">
        <v>2377.0828819884691</v>
      </c>
      <c r="O212">
        <v>2283.5318809201058</v>
      </c>
      <c r="P212">
        <v>2247.257855944626</v>
      </c>
      <c r="Q212" s="20">
        <v>2385.2304673490062</v>
      </c>
      <c r="R212" s="20">
        <v>2356.2342285156251</v>
      </c>
      <c r="S212">
        <v>2348.5772949218749</v>
      </c>
      <c r="T212">
        <v>2327.2856737206721</v>
      </c>
      <c r="U212">
        <v>2031.2402602750635</v>
      </c>
      <c r="V212">
        <v>1839.7716389057105</v>
      </c>
    </row>
    <row r="213" spans="1:25">
      <c r="A213">
        <v>101.7</v>
      </c>
      <c r="B213">
        <v>3.03</v>
      </c>
      <c r="C213">
        <v>371</v>
      </c>
      <c r="D213">
        <v>40.200000000000003</v>
      </c>
      <c r="E213">
        <v>2.9990167158308751</v>
      </c>
      <c r="F213">
        <v>803</v>
      </c>
      <c r="G213" s="20">
        <v>790.48959369957447</v>
      </c>
      <c r="H213">
        <v>219.21870560479789</v>
      </c>
      <c r="I213">
        <v>219.21906238762551</v>
      </c>
      <c r="J213">
        <v>219.25023780765159</v>
      </c>
      <c r="K213">
        <v>803.64206593406584</v>
      </c>
      <c r="L213">
        <v>805.93721886012622</v>
      </c>
      <c r="M213">
        <v>792.27600067791047</v>
      </c>
      <c r="N213">
        <v>773.15245399818093</v>
      </c>
      <c r="O213">
        <v>772.89517114492241</v>
      </c>
      <c r="P213">
        <v>763.11944223981232</v>
      </c>
      <c r="Q213" s="20">
        <v>789.09028917353771</v>
      </c>
      <c r="R213" s="20">
        <v>789.7288818359375</v>
      </c>
      <c r="S213">
        <v>794.48637695312505</v>
      </c>
      <c r="T213">
        <v>924.60342845706805</v>
      </c>
      <c r="U213">
        <v>853.30197952184051</v>
      </c>
      <c r="V213">
        <v>751.47871579146477</v>
      </c>
      <c r="W213">
        <v>797.784159574932</v>
      </c>
      <c r="X213">
        <v>785.22495317645712</v>
      </c>
      <c r="Y213">
        <v>618.14607890271714</v>
      </c>
    </row>
    <row r="214" spans="1:25">
      <c r="A214">
        <v>166</v>
      </c>
      <c r="B214">
        <v>5</v>
      </c>
      <c r="C214">
        <v>274.39999999999998</v>
      </c>
      <c r="D214">
        <v>26.56</v>
      </c>
      <c r="E214">
        <v>3.975903614457831</v>
      </c>
      <c r="F214">
        <v>1744</v>
      </c>
      <c r="G214" s="20">
        <v>1767.2459019566991</v>
      </c>
      <c r="H214">
        <v>2328.1969656923779</v>
      </c>
      <c r="I214">
        <v>2328.1970423398388</v>
      </c>
      <c r="J214">
        <v>2328.2143102026289</v>
      </c>
      <c r="K214">
        <v>1785.301000780403</v>
      </c>
      <c r="L214">
        <v>1783.028326165864</v>
      </c>
      <c r="M214">
        <v>1775.6312660771359</v>
      </c>
      <c r="N214">
        <v>1778.9089002376199</v>
      </c>
      <c r="O214">
        <v>1800.1759703422599</v>
      </c>
      <c r="P214">
        <v>1811.9399936120949</v>
      </c>
      <c r="Q214" s="20">
        <v>1758.6859813747731</v>
      </c>
      <c r="R214" s="20">
        <v>1777.2208984375</v>
      </c>
      <c r="S214">
        <v>1877.791259765625</v>
      </c>
      <c r="T214">
        <v>1774.6601365719227</v>
      </c>
      <c r="U214">
        <v>1631.85657293748</v>
      </c>
      <c r="V214">
        <v>1442.5205660612885</v>
      </c>
      <c r="W214">
        <v>1467.5378815511651</v>
      </c>
      <c r="Y214">
        <v>1164.685157183442</v>
      </c>
    </row>
    <row r="215" spans="1:25">
      <c r="A215">
        <v>114</v>
      </c>
      <c r="B215">
        <v>3.6</v>
      </c>
      <c r="C215">
        <v>300</v>
      </c>
      <c r="D215">
        <v>46.763208585700767</v>
      </c>
      <c r="E215">
        <v>2.192982456140351</v>
      </c>
      <c r="F215">
        <v>1095</v>
      </c>
      <c r="G215" s="20">
        <v>1217.4833293043289</v>
      </c>
      <c r="H215">
        <v>579.20097394423362</v>
      </c>
      <c r="I215">
        <v>579.20141305387665</v>
      </c>
      <c r="J215">
        <v>579.25804583666206</v>
      </c>
      <c r="K215">
        <v>991.9414473496206</v>
      </c>
      <c r="L215">
        <v>1157.3876251344459</v>
      </c>
      <c r="M215">
        <v>1099.2335518747329</v>
      </c>
      <c r="N215">
        <v>1262.301119548363</v>
      </c>
      <c r="O215">
        <v>1270.052924985682</v>
      </c>
      <c r="P215">
        <v>1247.8057821231</v>
      </c>
      <c r="Q215" s="20">
        <v>1198.2134629703501</v>
      </c>
      <c r="R215" s="20">
        <v>1284.701586914063</v>
      </c>
      <c r="S215">
        <v>1040.0890380859375</v>
      </c>
      <c r="T215">
        <v>1197.7776911638234</v>
      </c>
      <c r="U215">
        <v>1025.7423637986508</v>
      </c>
      <c r="V215">
        <v>894.43339366247653</v>
      </c>
      <c r="W215">
        <v>987.70390864373803</v>
      </c>
      <c r="X215">
        <v>993.46865131251354</v>
      </c>
      <c r="Y215">
        <v>769.67902227473337</v>
      </c>
    </row>
    <row r="216" spans="1:25">
      <c r="A216">
        <v>216.4</v>
      </c>
      <c r="B216">
        <v>6.61</v>
      </c>
      <c r="C216">
        <v>452</v>
      </c>
      <c r="D216">
        <v>38.200000000000003</v>
      </c>
      <c r="E216">
        <v>2.9990757855822552</v>
      </c>
      <c r="F216">
        <v>4023</v>
      </c>
      <c r="G216" s="20">
        <v>4157.3923743411597</v>
      </c>
      <c r="H216">
        <v>5112.4056923341441</v>
      </c>
      <c r="I216">
        <v>5112.405482727755</v>
      </c>
      <c r="J216">
        <v>5112.3811927417364</v>
      </c>
      <c r="K216">
        <v>4168.6790439179567</v>
      </c>
      <c r="L216">
        <v>3947.2204182207679</v>
      </c>
      <c r="M216">
        <v>4114.2095888741578</v>
      </c>
      <c r="N216">
        <v>4158.4755533728512</v>
      </c>
      <c r="O216">
        <v>4104.0786700185927</v>
      </c>
      <c r="P216">
        <v>3876.424683091685</v>
      </c>
      <c r="Q216" s="20">
        <v>3883.6643159139971</v>
      </c>
      <c r="R216" s="20">
        <v>4002.3137695312498</v>
      </c>
      <c r="S216">
        <v>3718.2939453125</v>
      </c>
      <c r="T216">
        <v>4068.5858473549661</v>
      </c>
      <c r="U216">
        <v>4428.5463828229113</v>
      </c>
      <c r="V216">
        <v>3931.4861134808157</v>
      </c>
      <c r="W216">
        <v>3863.1271785681761</v>
      </c>
      <c r="X216">
        <v>4005.3777791195739</v>
      </c>
      <c r="Y216">
        <v>3119.6995824856158</v>
      </c>
    </row>
    <row r="217" spans="1:25">
      <c r="A217">
        <v>112.56</v>
      </c>
      <c r="B217">
        <v>2.89</v>
      </c>
      <c r="C217">
        <v>360</v>
      </c>
      <c r="D217">
        <v>23.637855915983241</v>
      </c>
      <c r="E217">
        <v>3.020611229566454</v>
      </c>
      <c r="F217">
        <v>687</v>
      </c>
      <c r="G217" s="20">
        <v>723.72495757760532</v>
      </c>
      <c r="H217">
        <v>221.9856935312433</v>
      </c>
      <c r="I217">
        <v>221.98604590859111</v>
      </c>
      <c r="J217">
        <v>222.03202619253591</v>
      </c>
      <c r="K217">
        <v>719.74805194805197</v>
      </c>
      <c r="L217">
        <v>724.99426442558888</v>
      </c>
      <c r="M217">
        <v>725.31101092694371</v>
      </c>
      <c r="N217">
        <v>726.35058430102549</v>
      </c>
      <c r="O217">
        <v>742.27193304207753</v>
      </c>
      <c r="P217">
        <v>721.39685865301385</v>
      </c>
      <c r="Q217" s="20">
        <v>787.22627345822161</v>
      </c>
      <c r="R217" s="20">
        <v>720.5991088867188</v>
      </c>
      <c r="S217">
        <v>765.51040039062502</v>
      </c>
      <c r="T217">
        <v>857.93263618132551</v>
      </c>
      <c r="U217">
        <v>792.38067888289333</v>
      </c>
      <c r="V217">
        <v>705.05900648119984</v>
      </c>
      <c r="W217">
        <v>689.9082459343266</v>
      </c>
      <c r="Y217">
        <v>555.8125936508203</v>
      </c>
    </row>
    <row r="218" spans="1:25">
      <c r="A218">
        <v>114.3</v>
      </c>
      <c r="B218">
        <v>3.35</v>
      </c>
      <c r="C218">
        <v>287.33</v>
      </c>
      <c r="D218">
        <v>32.68</v>
      </c>
      <c r="E218">
        <v>3.00087489063867</v>
      </c>
      <c r="F218">
        <v>737</v>
      </c>
      <c r="G218" s="20">
        <v>745.45466311513383</v>
      </c>
      <c r="H218">
        <v>301.52741108303252</v>
      </c>
      <c r="I218">
        <v>301.52780083608701</v>
      </c>
      <c r="J218">
        <v>301.57980036054312</v>
      </c>
      <c r="K218">
        <v>854.37171408699237</v>
      </c>
      <c r="L218">
        <v>809.29831687668479</v>
      </c>
      <c r="M218">
        <v>768.77411718820474</v>
      </c>
      <c r="N218">
        <v>801.39794808674981</v>
      </c>
      <c r="O218">
        <v>775.77340865709459</v>
      </c>
      <c r="P218">
        <v>808.0934462016337</v>
      </c>
      <c r="Q218" s="20">
        <v>785.43561188847764</v>
      </c>
      <c r="R218" s="20">
        <v>720.35762939453127</v>
      </c>
      <c r="S218">
        <v>895.59577636718745</v>
      </c>
      <c r="T218">
        <v>954.24654234482659</v>
      </c>
      <c r="U218">
        <v>840.68724796059166</v>
      </c>
      <c r="V218">
        <v>738.86658165426229</v>
      </c>
      <c r="W218">
        <v>787.47590714159048</v>
      </c>
      <c r="X218">
        <v>787.60729982428995</v>
      </c>
      <c r="Y218">
        <v>614.0138917404189</v>
      </c>
    </row>
    <row r="219" spans="1:25">
      <c r="A219">
        <v>477</v>
      </c>
      <c r="B219">
        <v>11.36</v>
      </c>
      <c r="C219">
        <v>310</v>
      </c>
      <c r="D219">
        <v>73.2</v>
      </c>
      <c r="E219">
        <v>2</v>
      </c>
      <c r="F219">
        <v>20462</v>
      </c>
      <c r="G219" s="20">
        <v>19130.864446130869</v>
      </c>
      <c r="H219">
        <v>14753.27294515106</v>
      </c>
      <c r="I219">
        <v>14753.27152472496</v>
      </c>
      <c r="J219">
        <v>14753.210913173971</v>
      </c>
      <c r="K219">
        <v>25033.833333333328</v>
      </c>
      <c r="L219">
        <v>20718.893786858978</v>
      </c>
      <c r="M219">
        <v>19959.833009708738</v>
      </c>
      <c r="N219">
        <v>20019.642718278112</v>
      </c>
      <c r="O219">
        <v>20724.334059534849</v>
      </c>
      <c r="P219">
        <v>20686.005426607939</v>
      </c>
      <c r="Q219" s="20">
        <v>19485.570884286521</v>
      </c>
      <c r="R219" s="20">
        <v>20546.926562500001</v>
      </c>
      <c r="S219">
        <v>20032.514453125001</v>
      </c>
      <c r="T219">
        <v>19758.603044460349</v>
      </c>
      <c r="U219">
        <v>20210.020426087514</v>
      </c>
      <c r="V219">
        <v>17192.797049446348</v>
      </c>
    </row>
    <row r="220" spans="1:25">
      <c r="A220">
        <v>133</v>
      </c>
      <c r="B220">
        <v>4.7</v>
      </c>
      <c r="C220">
        <v>352</v>
      </c>
      <c r="D220">
        <v>67.760000000000005</v>
      </c>
      <c r="E220">
        <v>3.496240601503759</v>
      </c>
      <c r="F220">
        <v>2273</v>
      </c>
      <c r="G220" s="20">
        <v>2184.0115759120908</v>
      </c>
      <c r="H220">
        <v>2094.6122743265068</v>
      </c>
      <c r="I220">
        <v>2094.612379179498</v>
      </c>
      <c r="J220">
        <v>2094.5976557041699</v>
      </c>
      <c r="K220">
        <v>2125.630844155844</v>
      </c>
      <c r="L220">
        <v>2129.0406242063168</v>
      </c>
      <c r="M220">
        <v>2203.260613730929</v>
      </c>
      <c r="N220">
        <v>2134.9716881387139</v>
      </c>
      <c r="O220">
        <v>2190.9967401719291</v>
      </c>
      <c r="P220">
        <v>2189.6356694326641</v>
      </c>
      <c r="Q220" s="20">
        <v>1933.627036535823</v>
      </c>
      <c r="R220" s="20">
        <v>2206.0940917968751</v>
      </c>
      <c r="S220">
        <v>2079.5957519531248</v>
      </c>
      <c r="T220">
        <v>1949.7270973190728</v>
      </c>
      <c r="U220">
        <v>1893.2874879419594</v>
      </c>
      <c r="V220">
        <v>1645.4815083952587</v>
      </c>
      <c r="W220">
        <v>1805.4836492723564</v>
      </c>
      <c r="Y220">
        <v>1422.93915564796</v>
      </c>
    </row>
    <row r="221" spans="1:25">
      <c r="A221">
        <v>165</v>
      </c>
      <c r="B221">
        <v>2.72</v>
      </c>
      <c r="C221">
        <v>350</v>
      </c>
      <c r="D221">
        <v>48.5</v>
      </c>
      <c r="E221">
        <v>3.0909090909090908</v>
      </c>
      <c r="F221">
        <v>1750</v>
      </c>
      <c r="G221" s="20">
        <v>1985.492611492863</v>
      </c>
      <c r="H221">
        <v>2221.1140445181122</v>
      </c>
      <c r="I221">
        <v>2221.113989883504</v>
      </c>
      <c r="J221">
        <v>2221.135213351497</v>
      </c>
      <c r="K221">
        <v>1852.1851254268761</v>
      </c>
      <c r="L221">
        <v>1971.500655663325</v>
      </c>
      <c r="M221">
        <v>1839.4279171132621</v>
      </c>
      <c r="N221">
        <v>1937.9689945707621</v>
      </c>
      <c r="O221">
        <v>1891.80371310755</v>
      </c>
      <c r="P221">
        <v>1874.641200234794</v>
      </c>
      <c r="Q221" s="20">
        <v>2029.535629388417</v>
      </c>
      <c r="R221" s="20">
        <v>1926.594555664062</v>
      </c>
      <c r="S221">
        <v>2106.7826171874999</v>
      </c>
      <c r="T221">
        <v>1824.5394720188021</v>
      </c>
      <c r="U221">
        <v>1756.055588789515</v>
      </c>
      <c r="V221">
        <v>1502.1837928541804</v>
      </c>
      <c r="W221">
        <v>1490.91134629407</v>
      </c>
      <c r="X221">
        <v>1653.6670754264901</v>
      </c>
      <c r="Y221">
        <v>1392.943944559953</v>
      </c>
    </row>
    <row r="222" spans="1:25">
      <c r="A222">
        <v>63.5</v>
      </c>
      <c r="B222">
        <v>1.6</v>
      </c>
      <c r="C222">
        <v>250</v>
      </c>
      <c r="D222">
        <v>41.360000000000007</v>
      </c>
      <c r="E222">
        <v>5.5118110236220472</v>
      </c>
      <c r="F222">
        <v>188.69</v>
      </c>
      <c r="G222" s="20">
        <v>190.9870011058988</v>
      </c>
      <c r="H222">
        <v>-1622.747206290107</v>
      </c>
      <c r="I222">
        <v>-1622.746901676777</v>
      </c>
      <c r="J222">
        <v>-1622.7386341305271</v>
      </c>
      <c r="K222">
        <v>204.34807142857139</v>
      </c>
      <c r="L222">
        <v>192.54821346154</v>
      </c>
      <c r="M222">
        <v>189.11087378640741</v>
      </c>
      <c r="N222">
        <v>181.80077339899429</v>
      </c>
      <c r="O222">
        <v>186.58923230580399</v>
      </c>
      <c r="P222">
        <v>187.34839728817221</v>
      </c>
      <c r="Q222" s="20">
        <v>192.0957544000205</v>
      </c>
      <c r="R222" s="20">
        <v>188.97955017089839</v>
      </c>
      <c r="S222">
        <v>246.50661621093749</v>
      </c>
      <c r="T222">
        <v>265.29665701955855</v>
      </c>
      <c r="U222">
        <v>244.12804619939317</v>
      </c>
      <c r="V222">
        <v>210.75156729039318</v>
      </c>
      <c r="W222">
        <v>241.33912186128296</v>
      </c>
      <c r="X222">
        <v>210.17386735421809</v>
      </c>
      <c r="Y222">
        <v>185.8211987379857</v>
      </c>
    </row>
    <row r="223" spans="1:25">
      <c r="A223">
        <v>150</v>
      </c>
      <c r="B223">
        <v>2</v>
      </c>
      <c r="C223">
        <v>404</v>
      </c>
      <c r="D223">
        <v>72</v>
      </c>
      <c r="E223">
        <v>3</v>
      </c>
      <c r="F223">
        <v>1980</v>
      </c>
      <c r="G223" s="20">
        <v>1966.7394734781701</v>
      </c>
      <c r="H223">
        <v>2103.384940735757</v>
      </c>
      <c r="I223">
        <v>2103.3848249054731</v>
      </c>
      <c r="J223">
        <v>2103.384356089754</v>
      </c>
      <c r="K223">
        <v>1996.4793871248751</v>
      </c>
      <c r="L223">
        <v>1894.0605858924489</v>
      </c>
      <c r="M223">
        <v>1903.271357231765</v>
      </c>
      <c r="N223">
        <v>1984.9781337575109</v>
      </c>
      <c r="O223">
        <v>1972.2070080083799</v>
      </c>
      <c r="P223">
        <v>1935.0854289138449</v>
      </c>
      <c r="Q223" s="20">
        <v>1914.8177554760159</v>
      </c>
      <c r="R223" s="20">
        <v>1904.169458007812</v>
      </c>
      <c r="S223">
        <v>1882.5473388671876</v>
      </c>
      <c r="T223">
        <v>1895.1742607653825</v>
      </c>
      <c r="U223">
        <v>1813.9998318073092</v>
      </c>
      <c r="V223">
        <v>1526.8018374557323</v>
      </c>
      <c r="W223">
        <v>1592.4317327340741</v>
      </c>
    </row>
    <row r="224" spans="1:25">
      <c r="A224">
        <v>108</v>
      </c>
      <c r="B224">
        <v>4</v>
      </c>
      <c r="C224">
        <v>338.9</v>
      </c>
      <c r="D224">
        <v>18.24227097707757</v>
      </c>
      <c r="E224">
        <v>6</v>
      </c>
      <c r="F224">
        <v>825</v>
      </c>
      <c r="G224" s="20">
        <v>823.95722755805946</v>
      </c>
      <c r="H224">
        <v>422.06417044516701</v>
      </c>
      <c r="I224">
        <v>422.0642791631596</v>
      </c>
      <c r="J224">
        <v>422.03675482005713</v>
      </c>
      <c r="K224">
        <v>846.40345652619965</v>
      </c>
      <c r="L224">
        <v>826.35033614460065</v>
      </c>
      <c r="M224">
        <v>823.90926838990379</v>
      </c>
      <c r="N224">
        <v>821.99879447432613</v>
      </c>
      <c r="O224">
        <v>825.34964874657305</v>
      </c>
      <c r="P224">
        <v>819.5132123181653</v>
      </c>
      <c r="Q224" s="20">
        <v>909.47327565029775</v>
      </c>
      <c r="R224" s="20">
        <v>810.82524414062505</v>
      </c>
      <c r="S224">
        <v>763.87519531249995</v>
      </c>
      <c r="T224">
        <v>819.51760966014774</v>
      </c>
      <c r="U224">
        <v>860.78748205919442</v>
      </c>
      <c r="V224">
        <v>775.35878686341596</v>
      </c>
      <c r="W224">
        <v>707.83683080308924</v>
      </c>
    </row>
    <row r="225" spans="1:25">
      <c r="A225">
        <v>165</v>
      </c>
      <c r="B225">
        <v>2.82</v>
      </c>
      <c r="C225">
        <v>363.3</v>
      </c>
      <c r="D225">
        <v>80.2</v>
      </c>
      <c r="E225">
        <v>3.5181818181818181</v>
      </c>
      <c r="F225">
        <v>2295</v>
      </c>
      <c r="G225" s="20">
        <v>2202.154241310287</v>
      </c>
      <c r="H225">
        <v>2836.8848227614749</v>
      </c>
      <c r="I225">
        <v>2836.884596331719</v>
      </c>
      <c r="J225">
        <v>2836.865958803302</v>
      </c>
      <c r="K225">
        <v>2297.3158799533799</v>
      </c>
      <c r="L225">
        <v>2172.6115691618761</v>
      </c>
      <c r="M225">
        <v>2200.1206113102148</v>
      </c>
      <c r="N225">
        <v>2409.7838739523422</v>
      </c>
      <c r="O225">
        <v>2352.2151742996211</v>
      </c>
      <c r="P225">
        <v>2392.4779137676192</v>
      </c>
      <c r="Q225" s="20">
        <v>2163.9923040910039</v>
      </c>
      <c r="R225" s="20">
        <v>2208.0624023437499</v>
      </c>
      <c r="S225">
        <v>2384.4184082031252</v>
      </c>
      <c r="T225">
        <v>2410.4279007449004</v>
      </c>
      <c r="U225">
        <v>2445.2651546618399</v>
      </c>
      <c r="V225">
        <v>2060.8313122217878</v>
      </c>
    </row>
    <row r="226" spans="1:25">
      <c r="A226">
        <v>104.2</v>
      </c>
      <c r="B226">
        <v>2.44</v>
      </c>
      <c r="C226">
        <v>264.89999999999998</v>
      </c>
      <c r="D226">
        <v>21.9</v>
      </c>
      <c r="E226">
        <v>2.975047984644914</v>
      </c>
      <c r="F226">
        <v>450</v>
      </c>
      <c r="G226" s="20">
        <v>568.71440019137174</v>
      </c>
      <c r="H226">
        <v>-525.67034877486788</v>
      </c>
      <c r="I226">
        <v>-525.669881801678</v>
      </c>
      <c r="J226">
        <v>-525.59602753119327</v>
      </c>
      <c r="K226">
        <v>610.99109090909099</v>
      </c>
      <c r="L226">
        <v>606.74650023687991</v>
      </c>
      <c r="M226">
        <v>588.29708465770284</v>
      </c>
      <c r="N226">
        <v>498.77585475347229</v>
      </c>
      <c r="O226">
        <v>503.43651169131027</v>
      </c>
      <c r="P226">
        <v>505.74469241548468</v>
      </c>
      <c r="Q226" s="20">
        <v>636.22112277724568</v>
      </c>
      <c r="R226" s="20">
        <v>532.28814697265625</v>
      </c>
      <c r="S226">
        <v>601.75944824218755</v>
      </c>
      <c r="T226">
        <v>631.38825061277635</v>
      </c>
      <c r="U226">
        <v>504.41566798994432</v>
      </c>
      <c r="V226">
        <v>444.65573234283301</v>
      </c>
      <c r="W226">
        <v>459.04558945396906</v>
      </c>
      <c r="Y226">
        <v>365.84305390127503</v>
      </c>
    </row>
    <row r="227" spans="1:25">
      <c r="A227">
        <v>47.28</v>
      </c>
      <c r="B227">
        <v>1.87</v>
      </c>
      <c r="C227">
        <v>360</v>
      </c>
      <c r="D227">
        <v>23.637855915983241</v>
      </c>
      <c r="E227">
        <v>7.1912013536379016</v>
      </c>
      <c r="F227">
        <v>171</v>
      </c>
      <c r="G227" s="20">
        <v>188.55087739367971</v>
      </c>
      <c r="H227">
        <v>-1864.863449892405</v>
      </c>
      <c r="I227">
        <v>-1864.863260817812</v>
      </c>
      <c r="J227">
        <v>-1864.9076417365691</v>
      </c>
      <c r="K227">
        <v>188.4628321678322</v>
      </c>
      <c r="L227">
        <v>188.71838181530009</v>
      </c>
      <c r="M227">
        <v>194.998786407767</v>
      </c>
      <c r="N227">
        <v>185.77486570676709</v>
      </c>
      <c r="O227">
        <v>188.7453447813883</v>
      </c>
      <c r="P227">
        <v>184.2833017657461</v>
      </c>
      <c r="Q227" s="20">
        <v>182.98576861752281</v>
      </c>
      <c r="R227" s="20">
        <v>192.4209869384766</v>
      </c>
      <c r="S227">
        <v>211.24587402343749</v>
      </c>
      <c r="T227">
        <v>149.45618461724371</v>
      </c>
      <c r="U227">
        <v>190.77691168216214</v>
      </c>
      <c r="V227">
        <v>171.36815015375353</v>
      </c>
      <c r="W227">
        <v>160.99756303515963</v>
      </c>
      <c r="Y227">
        <v>124.83645482302541</v>
      </c>
    </row>
    <row r="228" spans="1:25">
      <c r="A228">
        <v>100</v>
      </c>
      <c r="B228">
        <v>1.9</v>
      </c>
      <c r="C228">
        <v>404</v>
      </c>
      <c r="D228">
        <v>97.28</v>
      </c>
      <c r="E228">
        <v>3</v>
      </c>
      <c r="F228">
        <v>1100</v>
      </c>
      <c r="G228" s="20">
        <v>1126.5</v>
      </c>
      <c r="H228">
        <v>891.17999003320222</v>
      </c>
      <c r="I228">
        <v>891.18007235745097</v>
      </c>
      <c r="J228">
        <v>891.16621282924518</v>
      </c>
      <c r="K228">
        <v>1096.060757142857</v>
      </c>
      <c r="L228">
        <v>1122.454730141633</v>
      </c>
      <c r="M228">
        <v>1126.499999999998</v>
      </c>
      <c r="N228">
        <v>1125.2787354614341</v>
      </c>
      <c r="O228">
        <v>1117.9967053551411</v>
      </c>
      <c r="P228">
        <v>1101.7795113181501</v>
      </c>
      <c r="Q228" s="20">
        <v>1034.054825605597</v>
      </c>
      <c r="R228" s="20">
        <v>1126.005541992188</v>
      </c>
      <c r="S228">
        <v>1094.5087158203125</v>
      </c>
      <c r="T228">
        <v>1139.7584380600542</v>
      </c>
      <c r="U228">
        <v>1090.3101759133272</v>
      </c>
      <c r="V228">
        <v>919.562469477646</v>
      </c>
    </row>
    <row r="229" spans="1:25">
      <c r="A229">
        <v>115</v>
      </c>
      <c r="B229">
        <v>3.9</v>
      </c>
      <c r="C229">
        <v>357.7</v>
      </c>
      <c r="D229">
        <v>51.43266126923227</v>
      </c>
      <c r="E229">
        <v>2.947826086956522</v>
      </c>
      <c r="F229">
        <v>1110</v>
      </c>
      <c r="G229" s="20">
        <v>1045.5643986225621</v>
      </c>
      <c r="H229">
        <v>1017.4025854869381</v>
      </c>
      <c r="I229">
        <v>1017.402879914594</v>
      </c>
      <c r="J229">
        <v>1017.421623258438</v>
      </c>
      <c r="K229">
        <v>1099.3923766</v>
      </c>
      <c r="L229">
        <v>1083.6610388079789</v>
      </c>
      <c r="M229">
        <v>1055.0389389690461</v>
      </c>
      <c r="N229">
        <v>1122.6517769981369</v>
      </c>
      <c r="O229">
        <v>1094.0726789805119</v>
      </c>
      <c r="P229">
        <v>1080.3552077464731</v>
      </c>
      <c r="Q229" s="20">
        <v>1245.9840797364311</v>
      </c>
      <c r="R229" s="20">
        <v>1076.66552734375</v>
      </c>
      <c r="S229">
        <v>1200.9076171874999</v>
      </c>
      <c r="T229">
        <v>1314.5572696672309</v>
      </c>
      <c r="U229">
        <v>1253.0062222125348</v>
      </c>
      <c r="V229">
        <v>1098.1171975720349</v>
      </c>
      <c r="W229">
        <v>1190.3756695731129</v>
      </c>
      <c r="X229">
        <v>1153.030000794311</v>
      </c>
      <c r="Y229">
        <v>920.99978178116237</v>
      </c>
    </row>
    <row r="230" spans="1:25">
      <c r="A230">
        <v>112.56</v>
      </c>
      <c r="B230">
        <v>2.89</v>
      </c>
      <c r="C230">
        <v>360</v>
      </c>
      <c r="D230">
        <v>26.454317301666318</v>
      </c>
      <c r="E230">
        <v>3.020611229566454</v>
      </c>
      <c r="F230">
        <v>735</v>
      </c>
      <c r="G230" s="20">
        <v>721.77674593505617</v>
      </c>
      <c r="H230">
        <v>267.67096397557322</v>
      </c>
      <c r="I230">
        <v>267.67130616048678</v>
      </c>
      <c r="J230">
        <v>267.71503004103897</v>
      </c>
      <c r="K230">
        <v>761.06019480519478</v>
      </c>
      <c r="L230">
        <v>731.70551107378469</v>
      </c>
      <c r="M230">
        <v>727.54120452509437</v>
      </c>
      <c r="N230">
        <v>729.76297241257703</v>
      </c>
      <c r="O230">
        <v>732.62941291859931</v>
      </c>
      <c r="P230">
        <v>730.98602404555368</v>
      </c>
      <c r="Q230" s="20">
        <v>793.26333050258859</v>
      </c>
      <c r="R230" s="20">
        <v>734.86322021484375</v>
      </c>
      <c r="S230">
        <v>792.05339355468755</v>
      </c>
      <c r="T230">
        <v>883.68561417140734</v>
      </c>
      <c r="U230">
        <v>817.60233010490128</v>
      </c>
      <c r="V230">
        <v>725.23632745880627</v>
      </c>
      <c r="W230">
        <v>724.75572278236803</v>
      </c>
      <c r="Y230">
        <v>579.50836961215748</v>
      </c>
    </row>
    <row r="231" spans="1:25">
      <c r="A231">
        <v>166</v>
      </c>
      <c r="B231">
        <v>5</v>
      </c>
      <c r="C231">
        <v>284.2</v>
      </c>
      <c r="D231">
        <v>42.24</v>
      </c>
      <c r="E231">
        <v>5.2409638554216871</v>
      </c>
      <c r="F231">
        <v>1862</v>
      </c>
      <c r="G231" s="20">
        <v>1974.3968479932751</v>
      </c>
      <c r="H231">
        <v>2700.1688907640878</v>
      </c>
      <c r="I231">
        <v>2700.1687511781911</v>
      </c>
      <c r="J231">
        <v>2700.139273122812</v>
      </c>
      <c r="K231">
        <v>1781.0108761776801</v>
      </c>
      <c r="L231">
        <v>1832.755552538747</v>
      </c>
      <c r="M231">
        <v>1829.481323242687</v>
      </c>
      <c r="N231">
        <v>1843.229218243413</v>
      </c>
      <c r="O231">
        <v>1821.60642746289</v>
      </c>
      <c r="P231">
        <v>1734.9557220578749</v>
      </c>
      <c r="Q231" s="20">
        <v>1814.251587313576</v>
      </c>
      <c r="R231" s="20">
        <v>1848.062182617188</v>
      </c>
      <c r="S231">
        <v>1823.497802734375</v>
      </c>
      <c r="T231">
        <v>1847.7351123215144</v>
      </c>
      <c r="U231">
        <v>1971.7055839026591</v>
      </c>
      <c r="V231">
        <v>1719.2938929659786</v>
      </c>
      <c r="W231">
        <v>1858.9663713095188</v>
      </c>
      <c r="X231">
        <v>1672.360697811225</v>
      </c>
      <c r="Y231">
        <v>1455.891578838874</v>
      </c>
    </row>
    <row r="232" spans="1:25">
      <c r="A232">
        <v>114.3</v>
      </c>
      <c r="B232">
        <v>3.35</v>
      </c>
      <c r="C232">
        <v>287.33</v>
      </c>
      <c r="D232">
        <v>88.78</v>
      </c>
      <c r="E232">
        <v>3.00087489063867</v>
      </c>
      <c r="F232">
        <v>1136.2</v>
      </c>
      <c r="G232" s="20">
        <v>1239.622424712775</v>
      </c>
      <c r="H232">
        <v>1211.5145619650291</v>
      </c>
      <c r="I232">
        <v>1211.5147486989499</v>
      </c>
      <c r="J232">
        <v>1211.5218038009541</v>
      </c>
      <c r="K232">
        <v>1289.0313585858589</v>
      </c>
      <c r="L232">
        <v>1222.2646624719309</v>
      </c>
      <c r="M232">
        <v>1236.738304210312</v>
      </c>
      <c r="N232">
        <v>1264.6325228850301</v>
      </c>
      <c r="O232">
        <v>1282.2532406470559</v>
      </c>
      <c r="P232">
        <v>1364.6494989853011</v>
      </c>
      <c r="Q232" s="20">
        <v>1251.035784524124</v>
      </c>
      <c r="R232" s="20">
        <v>1300.40791015625</v>
      </c>
      <c r="S232">
        <v>1200.2699462890625</v>
      </c>
      <c r="T232">
        <v>1395.4843534727397</v>
      </c>
      <c r="U232">
        <v>1350.8130437589778</v>
      </c>
      <c r="V232">
        <v>1146.9672182929712</v>
      </c>
    </row>
    <row r="233" spans="1:25">
      <c r="A233">
        <v>57.15</v>
      </c>
      <c r="B233">
        <v>1.6</v>
      </c>
      <c r="C233">
        <v>250</v>
      </c>
      <c r="D233">
        <v>41.360000000000007</v>
      </c>
      <c r="E233">
        <v>6.1242344706911638</v>
      </c>
      <c r="F233">
        <v>158.16999999999999</v>
      </c>
      <c r="G233" s="20">
        <v>162.53246050056791</v>
      </c>
      <c r="H233">
        <v>-1784.5447029597381</v>
      </c>
      <c r="I233">
        <v>-1784.544434478993</v>
      </c>
      <c r="J233">
        <v>-1784.5508762669949</v>
      </c>
      <c r="K233">
        <v>171.2713928571429</v>
      </c>
      <c r="L233">
        <v>175.39107307692279</v>
      </c>
      <c r="M233">
        <v>165.41544660194191</v>
      </c>
      <c r="N233">
        <v>165.5158654075102</v>
      </c>
      <c r="O233">
        <v>159.77972367460009</v>
      </c>
      <c r="P233">
        <v>158.68849824736679</v>
      </c>
      <c r="Q233" s="20">
        <v>175.89253798004731</v>
      </c>
      <c r="R233" s="20">
        <v>162.56581115722659</v>
      </c>
      <c r="S233">
        <v>139.94787673950196</v>
      </c>
      <c r="T233">
        <v>200.10318682260558</v>
      </c>
      <c r="U233">
        <v>207.63423543759743</v>
      </c>
      <c r="V233">
        <v>179.92666628930763</v>
      </c>
      <c r="W233">
        <v>204.03854393576057</v>
      </c>
      <c r="X233">
        <v>173.29184834191261</v>
      </c>
      <c r="Y233">
        <v>155.45596577358731</v>
      </c>
    </row>
    <row r="234" spans="1:25">
      <c r="A234">
        <v>157</v>
      </c>
      <c r="B234">
        <v>2.48</v>
      </c>
      <c r="C234">
        <v>326</v>
      </c>
      <c r="D234">
        <v>73.2</v>
      </c>
      <c r="E234">
        <v>2</v>
      </c>
      <c r="F234">
        <v>2058</v>
      </c>
      <c r="G234" s="20">
        <v>2115.9274487482321</v>
      </c>
      <c r="H234">
        <v>2145.6016784223461</v>
      </c>
      <c r="I234">
        <v>2145.6017201281838</v>
      </c>
      <c r="J234">
        <v>2145.6387497913879</v>
      </c>
      <c r="K234">
        <v>2079.0392032920522</v>
      </c>
      <c r="L234">
        <v>2059.2254566882411</v>
      </c>
      <c r="M234">
        <v>2087.9726067858078</v>
      </c>
      <c r="N234">
        <v>1905.9354224186859</v>
      </c>
      <c r="O234">
        <v>2001.386647425416</v>
      </c>
      <c r="P234">
        <v>2011.6601522677449</v>
      </c>
      <c r="Q234" s="20">
        <v>1953.4523233562149</v>
      </c>
      <c r="R234" s="20">
        <v>2035.057055664063</v>
      </c>
      <c r="S234">
        <v>2086.9384033203123</v>
      </c>
      <c r="T234">
        <v>2067.261023660541</v>
      </c>
      <c r="U234">
        <v>1964.7721870344099</v>
      </c>
      <c r="V234">
        <v>1650.5884883877275</v>
      </c>
    </row>
    <row r="235" spans="1:25">
      <c r="A235">
        <v>112.56</v>
      </c>
      <c r="B235">
        <v>2.89</v>
      </c>
      <c r="C235">
        <v>360</v>
      </c>
      <c r="D235">
        <v>20.451412656051279</v>
      </c>
      <c r="E235">
        <v>3.020611229566454</v>
      </c>
      <c r="F235">
        <v>700</v>
      </c>
      <c r="G235" s="20">
        <v>739.34961373991791</v>
      </c>
      <c r="H235">
        <v>170.29901931461899</v>
      </c>
      <c r="I235">
        <v>170.29938322332049</v>
      </c>
      <c r="J235">
        <v>170.34791632102639</v>
      </c>
      <c r="K235">
        <v>670.16285714285709</v>
      </c>
      <c r="L235">
        <v>723.07878771839205</v>
      </c>
      <c r="M235">
        <v>739.40864060959052</v>
      </c>
      <c r="N235">
        <v>730.45477545485039</v>
      </c>
      <c r="O235">
        <v>721.25656920304766</v>
      </c>
      <c r="P235">
        <v>725.70337490585757</v>
      </c>
      <c r="Q235" s="20">
        <v>769.39720900565794</v>
      </c>
      <c r="R235" s="20">
        <v>730.10136718750005</v>
      </c>
      <c r="S235">
        <v>736.27885742187505</v>
      </c>
      <c r="T235">
        <v>829.39869019127252</v>
      </c>
      <c r="U235">
        <v>763.84580851355167</v>
      </c>
      <c r="V235">
        <v>682.23111018572661</v>
      </c>
      <c r="W235">
        <v>649.80530105794332</v>
      </c>
    </row>
    <row r="236" spans="1:25">
      <c r="A236">
        <v>166</v>
      </c>
      <c r="B236">
        <v>5</v>
      </c>
      <c r="C236">
        <v>274.39999999999998</v>
      </c>
      <c r="D236">
        <v>26.56</v>
      </c>
      <c r="E236">
        <v>3.975903614457831</v>
      </c>
      <c r="F236">
        <v>1695</v>
      </c>
      <c r="G236" s="20">
        <v>1767.2459019566991</v>
      </c>
      <c r="H236">
        <v>2328.1969656923779</v>
      </c>
      <c r="I236">
        <v>2328.1970423398388</v>
      </c>
      <c r="J236">
        <v>2328.2143102026289</v>
      </c>
      <c r="K236">
        <v>1785.301000780403</v>
      </c>
      <c r="L236">
        <v>1783.028326165864</v>
      </c>
      <c r="M236">
        <v>1775.6312660771359</v>
      </c>
      <c r="N236">
        <v>1778.9089002376199</v>
      </c>
      <c r="O236">
        <v>1800.1759703422599</v>
      </c>
      <c r="P236">
        <v>1811.9399936120949</v>
      </c>
      <c r="Q236" s="20">
        <v>1758.6859813747731</v>
      </c>
      <c r="R236" s="20">
        <v>1777.2208984375</v>
      </c>
      <c r="S236">
        <v>1877.791259765625</v>
      </c>
      <c r="T236">
        <v>1774.6601365719227</v>
      </c>
      <c r="U236">
        <v>1631.85657293748</v>
      </c>
      <c r="V236">
        <v>1442.5205660612885</v>
      </c>
      <c r="W236">
        <v>1467.5378815511651</v>
      </c>
      <c r="Y236">
        <v>1164.685157183442</v>
      </c>
    </row>
    <row r="237" spans="1:25">
      <c r="A237">
        <v>140</v>
      </c>
      <c r="B237">
        <v>4.5</v>
      </c>
      <c r="C237">
        <v>374.2</v>
      </c>
      <c r="D237">
        <v>37.83</v>
      </c>
      <c r="E237">
        <v>3</v>
      </c>
      <c r="F237">
        <v>1405</v>
      </c>
      <c r="G237" s="20">
        <v>1443.47346787585</v>
      </c>
      <c r="H237">
        <v>1819.9782081002929</v>
      </c>
      <c r="I237">
        <v>1819.9784130752</v>
      </c>
      <c r="J237">
        <v>1819.995806635688</v>
      </c>
      <c r="K237">
        <v>1550.31496947497</v>
      </c>
      <c r="L237">
        <v>1443.5730889345509</v>
      </c>
      <c r="M237">
        <v>1468.6797667273411</v>
      </c>
      <c r="N237">
        <v>1393.099931943726</v>
      </c>
      <c r="O237">
        <v>1484.3527480647531</v>
      </c>
      <c r="P237">
        <v>1396.1010887312641</v>
      </c>
      <c r="Q237" s="20">
        <v>1423.589287768388</v>
      </c>
      <c r="R237" s="20">
        <v>1379.9458984375001</v>
      </c>
      <c r="S237">
        <v>1682.9017089843751</v>
      </c>
      <c r="T237">
        <v>1676.4349726489177</v>
      </c>
      <c r="U237">
        <v>1671.1169510860379</v>
      </c>
      <c r="V237">
        <v>1478.1008241019938</v>
      </c>
      <c r="W237">
        <v>1515.9774364236998</v>
      </c>
      <c r="X237">
        <v>1530.719399965044</v>
      </c>
      <c r="Y237">
        <v>1192.4151757834379</v>
      </c>
    </row>
    <row r="238" spans="1:25">
      <c r="A238">
        <v>89.32</v>
      </c>
      <c r="B238">
        <v>2.74</v>
      </c>
      <c r="C238">
        <v>360</v>
      </c>
      <c r="D238">
        <v>31.68001722925047</v>
      </c>
      <c r="E238">
        <v>3.8065382892969102</v>
      </c>
      <c r="F238">
        <v>620</v>
      </c>
      <c r="G238" s="20">
        <v>581.02488364435283</v>
      </c>
      <c r="H238">
        <v>-377.9844609578995</v>
      </c>
      <c r="I238">
        <v>-377.9841021460922</v>
      </c>
      <c r="J238">
        <v>-377.96053725898628</v>
      </c>
      <c r="K238">
        <v>628.70258472310707</v>
      </c>
      <c r="L238">
        <v>590.5930329780756</v>
      </c>
      <c r="M238">
        <v>573.1176996800607</v>
      </c>
      <c r="N238">
        <v>586.15638297733085</v>
      </c>
      <c r="O238">
        <v>599.91930792410881</v>
      </c>
      <c r="P238">
        <v>604.16622279433545</v>
      </c>
      <c r="Q238" s="20">
        <v>615.57258765458141</v>
      </c>
      <c r="R238" s="20">
        <v>576.56378173828125</v>
      </c>
      <c r="S238">
        <v>623.98347167968745</v>
      </c>
      <c r="T238">
        <v>666.87462165259262</v>
      </c>
      <c r="U238">
        <v>609.54102052834037</v>
      </c>
      <c r="V238">
        <v>540.5791288874118</v>
      </c>
      <c r="W238">
        <v>551.52780262201964</v>
      </c>
      <c r="X238">
        <v>536.74708216607576</v>
      </c>
      <c r="Y238">
        <v>429.64700848723987</v>
      </c>
    </row>
    <row r="239" spans="1:25">
      <c r="A239">
        <v>112.56</v>
      </c>
      <c r="B239">
        <v>2.89</v>
      </c>
      <c r="C239">
        <v>360</v>
      </c>
      <c r="D239">
        <v>32.791465757458397</v>
      </c>
      <c r="E239">
        <v>3.020611229566454</v>
      </c>
      <c r="F239">
        <v>801</v>
      </c>
      <c r="G239" s="20">
        <v>781.8924509425533</v>
      </c>
      <c r="H239">
        <v>370.46461224656201</v>
      </c>
      <c r="I239">
        <v>370.46493149809982</v>
      </c>
      <c r="J239">
        <v>370.5035783826209</v>
      </c>
      <c r="K239">
        <v>781.25090909090909</v>
      </c>
      <c r="L239">
        <v>776.43179110163351</v>
      </c>
      <c r="M239">
        <v>778.60943067598043</v>
      </c>
      <c r="N239">
        <v>801.76243659904821</v>
      </c>
      <c r="O239">
        <v>778.60233448718259</v>
      </c>
      <c r="P239">
        <v>759.11643827217404</v>
      </c>
      <c r="Q239" s="20">
        <v>800.43200396876148</v>
      </c>
      <c r="R239" s="20">
        <v>785.86993408203125</v>
      </c>
      <c r="S239">
        <v>852.98964843750002</v>
      </c>
      <c r="T239">
        <v>942.81030460101954</v>
      </c>
      <c r="U239">
        <v>874.35203344063905</v>
      </c>
      <c r="V239">
        <v>770.63609012739641</v>
      </c>
      <c r="W239">
        <v>801.10851593690552</v>
      </c>
      <c r="X239">
        <v>810.38256324671624</v>
      </c>
      <c r="Y239">
        <v>632.79359117405454</v>
      </c>
    </row>
    <row r="240" spans="1:25">
      <c r="A240">
        <v>114</v>
      </c>
      <c r="B240">
        <v>4.5</v>
      </c>
      <c r="C240">
        <v>271</v>
      </c>
      <c r="D240">
        <v>33.200000000000003</v>
      </c>
      <c r="E240">
        <v>4</v>
      </c>
      <c r="F240">
        <v>1033</v>
      </c>
      <c r="G240" s="20">
        <v>1286.512756620099</v>
      </c>
      <c r="H240">
        <v>629.14931031330946</v>
      </c>
      <c r="I240">
        <v>629.14964570598329</v>
      </c>
      <c r="J240">
        <v>629.17163100620269</v>
      </c>
      <c r="K240">
        <v>886.98770212865145</v>
      </c>
      <c r="L240">
        <v>890.16697586099986</v>
      </c>
      <c r="M240">
        <v>926.98694844635133</v>
      </c>
      <c r="N240">
        <v>978.42267869558543</v>
      </c>
      <c r="O240">
        <v>930.13352421279046</v>
      </c>
      <c r="P240">
        <v>1039.0289489057709</v>
      </c>
      <c r="Q240" s="20">
        <v>902.42107222869197</v>
      </c>
      <c r="R240" s="20">
        <v>1000.8841796875</v>
      </c>
      <c r="S240">
        <v>1091.2312988281251</v>
      </c>
      <c r="T240">
        <v>1086.4848887964204</v>
      </c>
      <c r="U240">
        <v>967.09093358871598</v>
      </c>
      <c r="V240">
        <v>855.56939885216866</v>
      </c>
      <c r="W240">
        <v>890.06916591327752</v>
      </c>
      <c r="X240">
        <v>854.37215337042255</v>
      </c>
      <c r="Y240">
        <v>685.72111122753529</v>
      </c>
    </row>
    <row r="241" spans="1:25">
      <c r="A241">
        <v>180</v>
      </c>
      <c r="B241">
        <v>3</v>
      </c>
      <c r="C241">
        <v>233.2</v>
      </c>
      <c r="D241">
        <v>24.24</v>
      </c>
      <c r="E241">
        <v>4.7777777777777777</v>
      </c>
      <c r="F241">
        <v>1352</v>
      </c>
      <c r="G241" s="20">
        <v>1585.7302789259591</v>
      </c>
      <c r="H241">
        <v>2096.0574282165549</v>
      </c>
      <c r="I241">
        <v>2096.0572748378008</v>
      </c>
      <c r="J241">
        <v>2096.077464595629</v>
      </c>
      <c r="K241">
        <v>1536.3160377213831</v>
      </c>
      <c r="L241">
        <v>1471.8468204477219</v>
      </c>
      <c r="M241">
        <v>1423.122313660936</v>
      </c>
      <c r="N241">
        <v>1431.73743692887</v>
      </c>
      <c r="O241">
        <v>1415.1972824789129</v>
      </c>
      <c r="P241">
        <v>1347.907663493537</v>
      </c>
      <c r="Q241" s="20">
        <v>1459.1513804695271</v>
      </c>
      <c r="R241" s="20">
        <v>1421.052416992188</v>
      </c>
      <c r="S241">
        <v>1391.3435791015625</v>
      </c>
      <c r="T241">
        <v>1191.8916693854117</v>
      </c>
      <c r="U241">
        <v>1206.6099127635523</v>
      </c>
      <c r="V241">
        <v>1043.2931214262244</v>
      </c>
      <c r="W241">
        <v>1001.2187436485956</v>
      </c>
      <c r="Y241">
        <v>922.80555878038717</v>
      </c>
    </row>
    <row r="242" spans="1:25">
      <c r="A242">
        <v>101.5</v>
      </c>
      <c r="B242">
        <v>3.4</v>
      </c>
      <c r="C242">
        <v>602.70000000000005</v>
      </c>
      <c r="D242">
        <v>32.68</v>
      </c>
      <c r="E242">
        <v>2</v>
      </c>
      <c r="F242">
        <v>1080</v>
      </c>
      <c r="G242" s="20">
        <v>1918.084334899133</v>
      </c>
      <c r="H242">
        <v>919.39884747316592</v>
      </c>
      <c r="I242">
        <v>919.39918844002966</v>
      </c>
      <c r="J242">
        <v>919.4075360350065</v>
      </c>
      <c r="K242">
        <v>1083.759491312268</v>
      </c>
      <c r="L242">
        <v>932.93570139998337</v>
      </c>
      <c r="M242">
        <v>932.26046147176635</v>
      </c>
      <c r="N242">
        <v>927.85782677870122</v>
      </c>
      <c r="O242">
        <v>864.9444473231722</v>
      </c>
      <c r="P242">
        <v>923.26461381532977</v>
      </c>
      <c r="Q242" s="20">
        <v>808.06686835131256</v>
      </c>
      <c r="R242" s="20">
        <v>910.2767211914063</v>
      </c>
      <c r="S242">
        <v>1193.4111572265624</v>
      </c>
      <c r="T242">
        <v>1364.7988008454572</v>
      </c>
      <c r="U242">
        <v>1190.1189372461627</v>
      </c>
      <c r="V242">
        <v>1126.8229865956564</v>
      </c>
      <c r="W242">
        <v>1042.1777488167688</v>
      </c>
    </row>
    <row r="243" spans="1:25">
      <c r="A243">
        <v>89.32</v>
      </c>
      <c r="B243">
        <v>2.74</v>
      </c>
      <c r="C243">
        <v>360</v>
      </c>
      <c r="D243">
        <v>33.257864674434238</v>
      </c>
      <c r="E243">
        <v>3.8065382892969102</v>
      </c>
      <c r="F243">
        <v>577</v>
      </c>
      <c r="G243" s="20">
        <v>612.91048712669931</v>
      </c>
      <c r="H243">
        <v>-352.39050550033778</v>
      </c>
      <c r="I243">
        <v>-352.39015239857008</v>
      </c>
      <c r="J243">
        <v>-352.36785160134178</v>
      </c>
      <c r="K243">
        <v>661.81879581984049</v>
      </c>
      <c r="L243">
        <v>611.12628360907445</v>
      </c>
      <c r="M243">
        <v>626.82731514301918</v>
      </c>
      <c r="N243">
        <v>590.39899718757124</v>
      </c>
      <c r="O243">
        <v>595.06914756313279</v>
      </c>
      <c r="P243">
        <v>593.68585104188776</v>
      </c>
      <c r="Q243" s="20">
        <v>618.76611259796755</v>
      </c>
      <c r="R243" s="20">
        <v>590.6533325195312</v>
      </c>
      <c r="S243">
        <v>627.95964355468755</v>
      </c>
      <c r="T243">
        <v>675.15232415960395</v>
      </c>
      <c r="U243">
        <v>618.25180827652616</v>
      </c>
      <c r="V243">
        <v>547.54775908596048</v>
      </c>
      <c r="W243">
        <v>563.57125921316447</v>
      </c>
      <c r="X243">
        <v>544.71126844258401</v>
      </c>
      <c r="Y243">
        <v>437.77080780978503</v>
      </c>
    </row>
    <row r="244" spans="1:25">
      <c r="A244">
        <v>337</v>
      </c>
      <c r="B244">
        <v>6.47</v>
      </c>
      <c r="C244">
        <v>823</v>
      </c>
      <c r="D244">
        <v>85.1</v>
      </c>
      <c r="E244">
        <v>3</v>
      </c>
      <c r="F244">
        <v>13776</v>
      </c>
      <c r="G244" s="20">
        <v>8923.8696177529619</v>
      </c>
      <c r="H244">
        <v>10949.749872182731</v>
      </c>
      <c r="I244">
        <v>10949.748486571911</v>
      </c>
      <c r="J244">
        <v>10949.59011171778</v>
      </c>
      <c r="K244">
        <v>9948.1795720114915</v>
      </c>
      <c r="L244">
        <v>9952.1601885659129</v>
      </c>
      <c r="M244">
        <v>10398.82961165049</v>
      </c>
      <c r="N244">
        <v>12815.3748083393</v>
      </c>
      <c r="O244">
        <v>13267.114138971239</v>
      </c>
      <c r="P244">
        <v>12753.037190416861</v>
      </c>
      <c r="Q244" s="20">
        <v>9675.1927178490114</v>
      </c>
      <c r="R244" s="20">
        <v>10823.3701171875</v>
      </c>
      <c r="S244">
        <v>12326.25390625</v>
      </c>
      <c r="T244">
        <v>13079.003391152713</v>
      </c>
      <c r="U244">
        <v>15423.353859299648</v>
      </c>
      <c r="V244">
        <v>13886.647621144868</v>
      </c>
      <c r="W244">
        <v>12614.862755957027</v>
      </c>
    </row>
    <row r="245" spans="1:25">
      <c r="A245">
        <v>219.1</v>
      </c>
      <c r="B245">
        <v>10</v>
      </c>
      <c r="C245">
        <v>381</v>
      </c>
      <c r="D245">
        <v>187.501</v>
      </c>
      <c r="E245">
        <v>2.7384755819260609</v>
      </c>
      <c r="F245">
        <v>9187</v>
      </c>
      <c r="G245" s="20">
        <v>8541.6313660486685</v>
      </c>
      <c r="H245">
        <v>8298.0649761095137</v>
      </c>
      <c r="I245">
        <v>8298.0644530371428</v>
      </c>
      <c r="J245">
        <v>8297.9190479495282</v>
      </c>
      <c r="K245">
        <v>7869.7111111111108</v>
      </c>
      <c r="L245">
        <v>8237.3990193871341</v>
      </c>
      <c r="M245">
        <v>8653.0406341845919</v>
      </c>
      <c r="N245">
        <v>8995.7023468681055</v>
      </c>
      <c r="O245">
        <v>8721.9076736544921</v>
      </c>
      <c r="P245">
        <v>8754.279579876069</v>
      </c>
      <c r="Q245" s="20">
        <v>7596.4707093280686</v>
      </c>
      <c r="R245" s="20">
        <v>8697.98193359375</v>
      </c>
      <c r="S245">
        <v>8754.6034179687504</v>
      </c>
      <c r="T245">
        <v>9082.2612898731659</v>
      </c>
      <c r="U245">
        <v>9441.6769613533379</v>
      </c>
      <c r="V245">
        <v>8398.4630127722176</v>
      </c>
    </row>
    <row r="246" spans="1:25">
      <c r="A246">
        <v>108</v>
      </c>
      <c r="B246">
        <v>8</v>
      </c>
      <c r="C246">
        <v>351</v>
      </c>
      <c r="D246">
        <v>72</v>
      </c>
      <c r="E246">
        <v>3</v>
      </c>
      <c r="F246">
        <v>1813</v>
      </c>
      <c r="G246" s="20">
        <v>1876.8758419532901</v>
      </c>
      <c r="H246">
        <v>2242.7411475838371</v>
      </c>
      <c r="I246">
        <v>2242.74159635775</v>
      </c>
      <c r="J246">
        <v>2242.7163942234001</v>
      </c>
      <c r="K246">
        <v>1820.039097979798</v>
      </c>
      <c r="L246">
        <v>1866.5646579412701</v>
      </c>
      <c r="M246">
        <v>1881.6031456310679</v>
      </c>
      <c r="N246">
        <v>1902.3719799477431</v>
      </c>
      <c r="O246">
        <v>1909.760161186299</v>
      </c>
      <c r="P246">
        <v>1902.531928219415</v>
      </c>
      <c r="Q246" s="20">
        <v>1825.680504904188</v>
      </c>
      <c r="R246" s="20">
        <v>1918.1192871093749</v>
      </c>
      <c r="S246">
        <v>1799.774462890625</v>
      </c>
      <c r="T246">
        <v>1924.8112903713748</v>
      </c>
      <c r="U246">
        <v>1907.7258557070945</v>
      </c>
      <c r="V246">
        <v>1690.0726909594628</v>
      </c>
    </row>
    <row r="247" spans="1:25">
      <c r="A247">
        <v>108</v>
      </c>
      <c r="B247">
        <v>5.5</v>
      </c>
      <c r="C247">
        <v>383.1</v>
      </c>
      <c r="D247">
        <v>84</v>
      </c>
      <c r="E247">
        <v>3</v>
      </c>
      <c r="F247">
        <v>1906</v>
      </c>
      <c r="G247" s="20">
        <v>1890.490454012182</v>
      </c>
      <c r="H247">
        <v>1855.4806696964531</v>
      </c>
      <c r="I247">
        <v>1855.4809349457539</v>
      </c>
      <c r="J247">
        <v>1855.456353331324</v>
      </c>
      <c r="K247">
        <v>1935.50811038961</v>
      </c>
      <c r="L247">
        <v>1910.261540709366</v>
      </c>
      <c r="M247">
        <v>1877.375858144552</v>
      </c>
      <c r="N247">
        <v>1955.311455313361</v>
      </c>
      <c r="O247">
        <v>1989.4573114508501</v>
      </c>
      <c r="P247">
        <v>1946.42046846114</v>
      </c>
      <c r="Q247" s="20">
        <v>1901.070541634828</v>
      </c>
      <c r="R247" s="20">
        <v>1836.430541992188</v>
      </c>
      <c r="S247">
        <v>1889.2620361328125</v>
      </c>
      <c r="T247">
        <v>1811.5235051040763</v>
      </c>
      <c r="U247">
        <v>1719.9109303940891</v>
      </c>
      <c r="V247">
        <v>1506.4020563706965</v>
      </c>
    </row>
    <row r="248" spans="1:25">
      <c r="A248">
        <v>140</v>
      </c>
      <c r="B248">
        <v>5.5</v>
      </c>
      <c r="C248">
        <v>333.2</v>
      </c>
      <c r="D248">
        <v>42.9</v>
      </c>
      <c r="E248">
        <v>6</v>
      </c>
      <c r="F248">
        <v>1379.8</v>
      </c>
      <c r="G248" s="20">
        <v>1626.074002350603</v>
      </c>
      <c r="H248">
        <v>2238.1064976065841</v>
      </c>
      <c r="I248">
        <v>2238.1064022362448</v>
      </c>
      <c r="J248">
        <v>2238.0460173553438</v>
      </c>
      <c r="K248">
        <v>1518.1966497688711</v>
      </c>
      <c r="L248">
        <v>1550.97001995195</v>
      </c>
      <c r="M248">
        <v>1681.0045253621449</v>
      </c>
      <c r="N248">
        <v>1458.3163474824819</v>
      </c>
      <c r="O248">
        <v>1505.077978959275</v>
      </c>
      <c r="P248">
        <v>1554.0336020905561</v>
      </c>
      <c r="Q248" s="20">
        <v>1521.6478009532659</v>
      </c>
      <c r="R248" s="20">
        <v>1526.750439453125</v>
      </c>
      <c r="S248">
        <v>1424.1834716796875</v>
      </c>
      <c r="T248">
        <v>1580.4881878298747</v>
      </c>
      <c r="U248">
        <v>1815.1492117539588</v>
      </c>
      <c r="V248">
        <v>1603.3234228056181</v>
      </c>
      <c r="W248">
        <v>1665.7765022518561</v>
      </c>
      <c r="X248">
        <v>1422.721070183316</v>
      </c>
      <c r="Y248">
        <v>1271.7384532399601</v>
      </c>
    </row>
    <row r="249" spans="1:25">
      <c r="A249">
        <v>102.3</v>
      </c>
      <c r="B249">
        <v>1.52</v>
      </c>
      <c r="C249">
        <v>264.89999999999998</v>
      </c>
      <c r="D249">
        <v>21.9</v>
      </c>
      <c r="E249">
        <v>3.0303030303030298</v>
      </c>
      <c r="F249">
        <v>485</v>
      </c>
      <c r="G249" s="20">
        <v>535.39190801589189</v>
      </c>
      <c r="H249">
        <v>-837.1428632744861</v>
      </c>
      <c r="I249">
        <v>-837.14243407339961</v>
      </c>
      <c r="J249">
        <v>-837.0633474566215</v>
      </c>
      <c r="K249">
        <v>475.47935557753527</v>
      </c>
      <c r="L249">
        <v>471.80102912115387</v>
      </c>
      <c r="M249">
        <v>483.34116992281622</v>
      </c>
      <c r="N249">
        <v>415.76666637655251</v>
      </c>
      <c r="O249">
        <v>433.35833519990558</v>
      </c>
      <c r="P249">
        <v>421.13681007882337</v>
      </c>
      <c r="Q249" s="20">
        <v>466.07171722649713</v>
      </c>
      <c r="R249" s="20">
        <v>390.7353515625</v>
      </c>
      <c r="S249">
        <v>455.08026733398435</v>
      </c>
      <c r="T249">
        <v>485.92887311044052</v>
      </c>
      <c r="U249">
        <v>375.98725430003498</v>
      </c>
      <c r="V249">
        <v>326.40222155719493</v>
      </c>
      <c r="W249">
        <v>322.80568397510552</v>
      </c>
      <c r="Y249">
        <v>286.67465678621119</v>
      </c>
    </row>
    <row r="250" spans="1:25">
      <c r="A250">
        <v>149</v>
      </c>
      <c r="B250">
        <v>3</v>
      </c>
      <c r="C250">
        <v>438</v>
      </c>
      <c r="D250">
        <v>46.831412032875782</v>
      </c>
      <c r="E250">
        <v>3.3557046979865768</v>
      </c>
      <c r="F250">
        <v>2337.1</v>
      </c>
      <c r="G250" s="20">
        <v>2377.6</v>
      </c>
      <c r="H250">
        <v>2079.878164901666</v>
      </c>
      <c r="I250">
        <v>2079.8781227708491</v>
      </c>
      <c r="J250">
        <v>2079.8744223046342</v>
      </c>
      <c r="K250">
        <v>2193.634430350271</v>
      </c>
      <c r="L250">
        <v>2268.2952742837479</v>
      </c>
      <c r="M250">
        <v>2378.7653430420678</v>
      </c>
      <c r="N250">
        <v>2175.1803355356851</v>
      </c>
      <c r="O250">
        <v>2328.734604218665</v>
      </c>
      <c r="P250">
        <v>2255.5264810828298</v>
      </c>
      <c r="Q250" s="20">
        <v>2107.5109442247349</v>
      </c>
      <c r="R250" s="20">
        <v>2376.3893554687502</v>
      </c>
      <c r="S250">
        <v>2285.0166992187501</v>
      </c>
      <c r="T250">
        <v>1767.0675902938863</v>
      </c>
      <c r="U250">
        <v>1728.5079416207186</v>
      </c>
      <c r="V250">
        <v>1503.1963640003523</v>
      </c>
      <c r="W250">
        <v>1435.5284423697428</v>
      </c>
      <c r="X250">
        <v>1571.9881792058959</v>
      </c>
      <c r="Y250">
        <v>1301.822720744349</v>
      </c>
    </row>
    <row r="251" spans="1:25">
      <c r="A251">
        <v>82.6</v>
      </c>
      <c r="B251">
        <v>1.4</v>
      </c>
      <c r="C251">
        <v>492.8</v>
      </c>
      <c r="D251">
        <v>28.099911411953151</v>
      </c>
      <c r="E251">
        <v>3.002421307506054</v>
      </c>
      <c r="F251">
        <v>541</v>
      </c>
      <c r="G251" s="20">
        <v>752.76228773037451</v>
      </c>
      <c r="H251">
        <v>-620.317965578908</v>
      </c>
      <c r="I251">
        <v>-620.31762321368171</v>
      </c>
      <c r="J251">
        <v>-620.29026551609036</v>
      </c>
      <c r="K251">
        <v>419.37136420393529</v>
      </c>
      <c r="L251">
        <v>451.05069011833058</v>
      </c>
      <c r="M251">
        <v>462.18320565590312</v>
      </c>
      <c r="N251">
        <v>478.74348092304012</v>
      </c>
      <c r="O251">
        <v>490.69755311533362</v>
      </c>
      <c r="P251">
        <v>501.77030722032072</v>
      </c>
      <c r="Q251" s="20">
        <v>459.85666527438508</v>
      </c>
      <c r="R251" s="20">
        <v>497.64138183593752</v>
      </c>
      <c r="S251">
        <v>303.43124847412111</v>
      </c>
      <c r="T251">
        <v>558.82515833172647</v>
      </c>
      <c r="U251">
        <v>425.65494295930222</v>
      </c>
      <c r="V251">
        <v>375.80337922543544</v>
      </c>
      <c r="W251">
        <v>353.00046623044665</v>
      </c>
      <c r="Y251">
        <v>306.77993460136162</v>
      </c>
    </row>
    <row r="252" spans="1:25">
      <c r="A252">
        <v>204</v>
      </c>
      <c r="B252">
        <v>2</v>
      </c>
      <c r="C252">
        <v>235.2</v>
      </c>
      <c r="D252">
        <v>40.28</v>
      </c>
      <c r="E252">
        <v>4.117647058823529</v>
      </c>
      <c r="F252">
        <v>1691</v>
      </c>
      <c r="G252" s="20">
        <v>1588.2828663925909</v>
      </c>
      <c r="H252">
        <v>2807.913240884714</v>
      </c>
      <c r="I252">
        <v>2807.9129198853789</v>
      </c>
      <c r="J252">
        <v>2807.9405051598951</v>
      </c>
      <c r="K252">
        <v>1668.9087156465989</v>
      </c>
      <c r="L252">
        <v>1719.8487139066151</v>
      </c>
      <c r="M252">
        <v>1636.0449679684791</v>
      </c>
      <c r="N252">
        <v>1700.371017584436</v>
      </c>
      <c r="O252">
        <v>1589.3707841183871</v>
      </c>
      <c r="P252">
        <v>1632.9003525892681</v>
      </c>
      <c r="Q252" s="20">
        <v>1646.204877094518</v>
      </c>
      <c r="R252" s="20">
        <v>1591.550512695313</v>
      </c>
      <c r="S252">
        <v>1807.3875976562499</v>
      </c>
      <c r="T252">
        <v>1718.6983228760496</v>
      </c>
      <c r="U252">
        <v>1749.0304893594932</v>
      </c>
      <c r="V252">
        <v>1459.5212102250041</v>
      </c>
      <c r="W252">
        <v>1497.7395302933198</v>
      </c>
      <c r="Y252">
        <v>1475.1965095901221</v>
      </c>
    </row>
    <row r="253" spans="1:25">
      <c r="A253">
        <v>96</v>
      </c>
      <c r="B253">
        <v>5</v>
      </c>
      <c r="C253">
        <v>410</v>
      </c>
      <c r="D253">
        <v>26.01869872620826</v>
      </c>
      <c r="E253">
        <v>4.166666666666667</v>
      </c>
      <c r="F253">
        <v>1123</v>
      </c>
      <c r="G253" s="20">
        <v>1141</v>
      </c>
      <c r="H253">
        <v>563.51320447674459</v>
      </c>
      <c r="I253">
        <v>563.513566122062</v>
      </c>
      <c r="J253">
        <v>563.50489086205084</v>
      </c>
      <c r="K253">
        <v>1069.1283588797089</v>
      </c>
      <c r="L253">
        <v>1135.415986154017</v>
      </c>
      <c r="M253">
        <v>1140.5690827567239</v>
      </c>
      <c r="N253">
        <v>1098.057492820594</v>
      </c>
      <c r="O253">
        <v>1128.4613873260321</v>
      </c>
      <c r="P253">
        <v>1112.022354075476</v>
      </c>
      <c r="Q253" s="20">
        <v>1053.436401793821</v>
      </c>
      <c r="R253" s="20">
        <v>1139.667407226563</v>
      </c>
      <c r="S253">
        <v>1138.9746826171875</v>
      </c>
      <c r="T253">
        <v>1093.240212780755</v>
      </c>
      <c r="U253">
        <v>1100.5613999135614</v>
      </c>
      <c r="V253">
        <v>992.96847935555263</v>
      </c>
      <c r="W253">
        <v>899.84456010481324</v>
      </c>
      <c r="Y253">
        <v>719.53283508012441</v>
      </c>
    </row>
    <row r="254" spans="1:25">
      <c r="A254">
        <v>47.28</v>
      </c>
      <c r="B254">
        <v>1.87</v>
      </c>
      <c r="C254">
        <v>360</v>
      </c>
      <c r="D254">
        <v>30.684449358246841</v>
      </c>
      <c r="E254">
        <v>7.1912013536379016</v>
      </c>
      <c r="F254">
        <v>177</v>
      </c>
      <c r="G254" s="20">
        <v>205.81492654249351</v>
      </c>
      <c r="H254">
        <v>-1750.562032959265</v>
      </c>
      <c r="I254">
        <v>-1750.5618693854419</v>
      </c>
      <c r="J254">
        <v>-1750.6118956709111</v>
      </c>
      <c r="K254">
        <v>189.36983216783219</v>
      </c>
      <c r="L254">
        <v>194.8425494871795</v>
      </c>
      <c r="M254">
        <v>178.85566343042069</v>
      </c>
      <c r="N254">
        <v>191.36576852399821</v>
      </c>
      <c r="O254">
        <v>191.77040891386659</v>
      </c>
      <c r="P254">
        <v>189.1996699898462</v>
      </c>
      <c r="Q254" s="20">
        <v>188.85454305904949</v>
      </c>
      <c r="R254" s="20">
        <v>185.1962005615234</v>
      </c>
      <c r="S254">
        <v>232.05612792968751</v>
      </c>
      <c r="T254">
        <v>152.06117919754098</v>
      </c>
      <c r="U254">
        <v>201.26861366871211</v>
      </c>
      <c r="V254">
        <v>179.76151174299352</v>
      </c>
      <c r="W254">
        <v>176.83861926361644</v>
      </c>
      <c r="X254">
        <v>145.20651783044849</v>
      </c>
      <c r="Y254">
        <v>134.2184098507316</v>
      </c>
    </row>
    <row r="255" spans="1:25">
      <c r="A255">
        <v>75.97</v>
      </c>
      <c r="B255">
        <v>2.98</v>
      </c>
      <c r="C255">
        <v>278</v>
      </c>
      <c r="D255">
        <v>145</v>
      </c>
      <c r="E255">
        <v>3.9489272081084641</v>
      </c>
      <c r="F255">
        <v>801</v>
      </c>
      <c r="G255" s="20">
        <v>799.72831184617564</v>
      </c>
      <c r="H255">
        <v>829.77031572105113</v>
      </c>
      <c r="I255">
        <v>829.77040105664275</v>
      </c>
      <c r="J255">
        <v>829.71780941526958</v>
      </c>
      <c r="K255">
        <v>810.0334931480154</v>
      </c>
      <c r="L255">
        <v>755.96563179379632</v>
      </c>
      <c r="M255">
        <v>800.05809061488685</v>
      </c>
      <c r="N255">
        <v>773.69181516055346</v>
      </c>
      <c r="O255">
        <v>740.02461786619665</v>
      </c>
      <c r="P255">
        <v>754.23197417355379</v>
      </c>
      <c r="Q255" s="20">
        <v>762.57278426689118</v>
      </c>
      <c r="R255" s="20">
        <v>723.01580810546875</v>
      </c>
      <c r="S255">
        <v>740.20148925781245</v>
      </c>
      <c r="T255">
        <v>808.46717181907138</v>
      </c>
      <c r="U255">
        <v>831.73488597251662</v>
      </c>
      <c r="V255">
        <v>729.83921834228011</v>
      </c>
    </row>
    <row r="256" spans="1:25">
      <c r="A256">
        <v>450</v>
      </c>
      <c r="B256">
        <v>2.96</v>
      </c>
      <c r="C256">
        <v>279</v>
      </c>
      <c r="D256">
        <v>41.1</v>
      </c>
      <c r="E256">
        <v>3</v>
      </c>
      <c r="F256">
        <v>6985</v>
      </c>
      <c r="G256" s="20">
        <v>6282.805518589349</v>
      </c>
      <c r="H256">
        <v>11007.778851901419</v>
      </c>
      <c r="I256">
        <v>11007.777224332311</v>
      </c>
      <c r="J256">
        <v>11007.78565979819</v>
      </c>
      <c r="K256">
        <v>6377.5724612080176</v>
      </c>
      <c r="L256">
        <v>8569.9212286909551</v>
      </c>
      <c r="M256">
        <v>6749.7432038834959</v>
      </c>
      <c r="N256">
        <v>5820.2370638511293</v>
      </c>
      <c r="O256">
        <v>5973.3684655010384</v>
      </c>
      <c r="P256">
        <v>6252.8835724346254</v>
      </c>
      <c r="Q256" s="20">
        <v>6355.8404751854314</v>
      </c>
      <c r="R256" s="20">
        <v>6563.4431640624998</v>
      </c>
      <c r="S256">
        <v>6940.49951171875</v>
      </c>
      <c r="T256">
        <v>7181.0129896920698</v>
      </c>
      <c r="U256">
        <v>8244.73196624718</v>
      </c>
      <c r="V256">
        <v>6830.8374194404159</v>
      </c>
      <c r="Y256">
        <v>5547.730368486199</v>
      </c>
    </row>
    <row r="257" spans="1:25">
      <c r="A257">
        <v>131</v>
      </c>
      <c r="B257">
        <v>4</v>
      </c>
      <c r="C257">
        <v>306</v>
      </c>
      <c r="D257">
        <v>47.04</v>
      </c>
      <c r="E257">
        <v>3</v>
      </c>
      <c r="F257">
        <v>1459</v>
      </c>
      <c r="G257" s="20">
        <v>1360.6940467237321</v>
      </c>
      <c r="H257">
        <v>1310.706989145825</v>
      </c>
      <c r="I257">
        <v>1310.7072440669581</v>
      </c>
      <c r="J257">
        <v>1310.737026647033</v>
      </c>
      <c r="K257">
        <v>1445.5040043290039</v>
      </c>
      <c r="L257">
        <v>1363.1800346533651</v>
      </c>
      <c r="M257">
        <v>1362.645193574009</v>
      </c>
      <c r="N257">
        <v>1380.5507487237251</v>
      </c>
      <c r="O257">
        <v>1395.7724097820851</v>
      </c>
      <c r="P257">
        <v>1364.625948704484</v>
      </c>
      <c r="Q257" s="20">
        <v>1421.700631023991</v>
      </c>
      <c r="R257" s="20">
        <v>1384.447583007812</v>
      </c>
      <c r="S257">
        <v>1362.233203125</v>
      </c>
      <c r="T257">
        <v>1419.153202114167</v>
      </c>
      <c r="U257">
        <v>1350.0768234131078</v>
      </c>
      <c r="V257">
        <v>1176.4496176584832</v>
      </c>
      <c r="W257">
        <v>1291.8573645912909</v>
      </c>
      <c r="X257">
        <v>1257.9197084619061</v>
      </c>
      <c r="Y257">
        <v>1012.103114744266</v>
      </c>
    </row>
    <row r="258" spans="1:25">
      <c r="A258">
        <v>190</v>
      </c>
      <c r="B258">
        <v>1.1299999999999999</v>
      </c>
      <c r="C258">
        <v>185.7</v>
      </c>
      <c r="D258">
        <v>41</v>
      </c>
      <c r="E258">
        <v>3.4973684210526321</v>
      </c>
      <c r="F258">
        <v>1377</v>
      </c>
      <c r="G258" s="20">
        <v>1725.3455349501301</v>
      </c>
      <c r="H258">
        <v>1921.8226245308481</v>
      </c>
      <c r="I258">
        <v>1921.8224564308521</v>
      </c>
      <c r="J258">
        <v>1921.8839499988201</v>
      </c>
      <c r="K258">
        <v>1942.180457373242</v>
      </c>
      <c r="L258">
        <v>1721.7503577138009</v>
      </c>
      <c r="M258">
        <v>1655.883278658908</v>
      </c>
      <c r="N258">
        <v>1416.0324134642119</v>
      </c>
      <c r="O258">
        <v>1521.9932419469151</v>
      </c>
      <c r="P258">
        <v>1554.7088819360631</v>
      </c>
      <c r="Q258" s="20">
        <v>1674.868919520464</v>
      </c>
      <c r="R258" s="20">
        <v>1475.907153320313</v>
      </c>
      <c r="S258">
        <v>1448.6662353515626</v>
      </c>
      <c r="T258">
        <v>1514.7338744290494</v>
      </c>
      <c r="U258">
        <v>1336.6835157602677</v>
      </c>
      <c r="V258">
        <v>1094.5963705416013</v>
      </c>
      <c r="Y258">
        <v>1178.981963522878</v>
      </c>
    </row>
    <row r="259" spans="1:25">
      <c r="A259">
        <v>108</v>
      </c>
      <c r="B259">
        <v>4</v>
      </c>
      <c r="C259">
        <v>332</v>
      </c>
      <c r="D259">
        <v>39.229999999999997</v>
      </c>
      <c r="E259">
        <v>3</v>
      </c>
      <c r="F259">
        <v>970</v>
      </c>
      <c r="G259" s="20">
        <v>1023.310490547495</v>
      </c>
      <c r="H259">
        <v>539.4463640121354</v>
      </c>
      <c r="I259">
        <v>539.44676222219073</v>
      </c>
      <c r="J259">
        <v>539.47985096336413</v>
      </c>
      <c r="K259">
        <v>985.37676200585736</v>
      </c>
      <c r="L259">
        <v>1020.482213114568</v>
      </c>
      <c r="M259">
        <v>997.39835552742784</v>
      </c>
      <c r="N259">
        <v>1023.452486559257</v>
      </c>
      <c r="O259">
        <v>1024.958879979195</v>
      </c>
      <c r="P259">
        <v>1000.3220446852411</v>
      </c>
      <c r="Q259" s="20">
        <v>1024.020185120014</v>
      </c>
      <c r="R259" s="20">
        <v>982.7667114257813</v>
      </c>
      <c r="S259">
        <v>993.37565917968755</v>
      </c>
      <c r="T259">
        <v>1086.6439775674094</v>
      </c>
      <c r="U259">
        <v>1011.0161637084205</v>
      </c>
      <c r="V259">
        <v>893.77593481368865</v>
      </c>
      <c r="W259">
        <v>934.81277938430139</v>
      </c>
      <c r="X259">
        <v>927.68166258982501</v>
      </c>
      <c r="Y259">
        <v>721.72562626443403</v>
      </c>
    </row>
    <row r="260" spans="1:25">
      <c r="A260">
        <v>219.1</v>
      </c>
      <c r="B260">
        <v>6.3</v>
      </c>
      <c r="C260">
        <v>300</v>
      </c>
      <c r="D260">
        <v>119.2</v>
      </c>
      <c r="E260">
        <v>2.7384755819260609</v>
      </c>
      <c r="F260">
        <v>6817</v>
      </c>
      <c r="G260" s="20">
        <v>7189.0246705056588</v>
      </c>
      <c r="H260">
        <v>5889.3491950052066</v>
      </c>
      <c r="I260">
        <v>5889.3488122190502</v>
      </c>
      <c r="J260">
        <v>5889.3018794261116</v>
      </c>
      <c r="K260">
        <v>7193.1111111111113</v>
      </c>
      <c r="L260">
        <v>7113.7180483091597</v>
      </c>
      <c r="M260">
        <v>6583.4252994879371</v>
      </c>
      <c r="N260">
        <v>7251.73869688789</v>
      </c>
      <c r="O260">
        <v>7151.1654874516526</v>
      </c>
      <c r="P260">
        <v>6906.5656871891579</v>
      </c>
      <c r="Q260" s="20">
        <v>6841.9464122843874</v>
      </c>
      <c r="R260" s="20">
        <v>7011.6251953125002</v>
      </c>
      <c r="S260">
        <v>6669.3258789062502</v>
      </c>
      <c r="T260">
        <v>6146.5346076619026</v>
      </c>
      <c r="U260">
        <v>5811.6182069565957</v>
      </c>
      <c r="V260">
        <v>5081.1545474812447</v>
      </c>
    </row>
    <row r="261" spans="1:25">
      <c r="A261">
        <v>114.8</v>
      </c>
      <c r="B261">
        <v>3.9</v>
      </c>
      <c r="C261">
        <v>357.7</v>
      </c>
      <c r="D261">
        <v>42.7</v>
      </c>
      <c r="E261">
        <v>2.9442508710801389</v>
      </c>
      <c r="F261">
        <v>1110</v>
      </c>
      <c r="G261" s="20">
        <v>1038.913153843482</v>
      </c>
      <c r="H261">
        <v>869.13570295428258</v>
      </c>
      <c r="I261">
        <v>869.13603059043157</v>
      </c>
      <c r="J261">
        <v>869.16188520265928</v>
      </c>
      <c r="K261">
        <v>1113.703664142857</v>
      </c>
      <c r="L261">
        <v>1060.874147386126</v>
      </c>
      <c r="M261">
        <v>1041.884311421459</v>
      </c>
      <c r="N261">
        <v>1058.7411778182229</v>
      </c>
      <c r="O261">
        <v>1018.889479355016</v>
      </c>
      <c r="P261">
        <v>1016.878873944018</v>
      </c>
      <c r="Q261" s="20">
        <v>1090.080698883879</v>
      </c>
      <c r="R261" s="20">
        <v>1019.847009277344</v>
      </c>
      <c r="S261">
        <v>1120.5656982421874</v>
      </c>
      <c r="T261">
        <v>1228.6440855791602</v>
      </c>
      <c r="U261">
        <v>1171.3314318007706</v>
      </c>
      <c r="V261">
        <v>1032.5981838194334</v>
      </c>
      <c r="W261">
        <v>1090.4842521812088</v>
      </c>
      <c r="X261">
        <v>1077.2402887686681</v>
      </c>
      <c r="Y261">
        <v>844.82031727758044</v>
      </c>
    </row>
    <row r="262" spans="1:25">
      <c r="A262">
        <v>200</v>
      </c>
      <c r="B262">
        <v>3</v>
      </c>
      <c r="C262">
        <v>303.5</v>
      </c>
      <c r="D262">
        <v>32.457457285750117</v>
      </c>
      <c r="E262">
        <v>3</v>
      </c>
      <c r="F262">
        <v>2256</v>
      </c>
      <c r="G262" s="20">
        <v>2277.9</v>
      </c>
      <c r="H262">
        <v>2989.4739197374029</v>
      </c>
      <c r="I262">
        <v>2989.473777332295</v>
      </c>
      <c r="J262">
        <v>2989.514240516065</v>
      </c>
      <c r="K262">
        <v>2071.2750764429429</v>
      </c>
      <c r="L262">
        <v>2225.1531487145648</v>
      </c>
      <c r="M262">
        <v>2277.7448714585821</v>
      </c>
      <c r="N262">
        <v>2101.6163301756051</v>
      </c>
      <c r="O262">
        <v>2151.4235904520051</v>
      </c>
      <c r="P262">
        <v>2149.4818921297042</v>
      </c>
      <c r="Q262" s="20">
        <v>2089.2187603735142</v>
      </c>
      <c r="R262" s="20">
        <v>2278.5836425781249</v>
      </c>
      <c r="S262">
        <v>2137.7105957031249</v>
      </c>
      <c r="T262">
        <v>1875.8897190306823</v>
      </c>
      <c r="U262">
        <v>1872.2924152519502</v>
      </c>
      <c r="V262">
        <v>1611.0297999413374</v>
      </c>
      <c r="W262">
        <v>1553.4708277038726</v>
      </c>
      <c r="X262">
        <v>1784.835372819605</v>
      </c>
      <c r="Y262">
        <v>1463.8083000570621</v>
      </c>
    </row>
    <row r="263" spans="1:25">
      <c r="A263">
        <v>130.6</v>
      </c>
      <c r="B263">
        <v>2.2999999999999998</v>
      </c>
      <c r="C263">
        <v>324.3</v>
      </c>
      <c r="D263">
        <v>60.75</v>
      </c>
      <c r="E263">
        <v>3.0321592649310869</v>
      </c>
      <c r="F263">
        <v>1250</v>
      </c>
      <c r="G263" s="20">
        <v>1298.2982915859459</v>
      </c>
      <c r="H263">
        <v>1114.708280925222</v>
      </c>
      <c r="I263">
        <v>1114.7083922170441</v>
      </c>
      <c r="J263">
        <v>1114.734171521251</v>
      </c>
      <c r="K263">
        <v>1421.2001731601731</v>
      </c>
      <c r="L263">
        <v>1398.542277398592</v>
      </c>
      <c r="M263">
        <v>1392.5200582524269</v>
      </c>
      <c r="N263">
        <v>1320.309156810358</v>
      </c>
      <c r="O263">
        <v>1416.644505903248</v>
      </c>
      <c r="P263">
        <v>1430.398276739764</v>
      </c>
      <c r="Q263" s="20">
        <v>1261.9475772635701</v>
      </c>
      <c r="R263" s="20">
        <v>1347.985913085937</v>
      </c>
      <c r="S263">
        <v>1373.1749511718749</v>
      </c>
      <c r="T263">
        <v>1369.8770048094016</v>
      </c>
      <c r="U263">
        <v>1244.5325141779169</v>
      </c>
      <c r="V263">
        <v>1055.8478406733302</v>
      </c>
      <c r="W263">
        <v>1091.9940447172326</v>
      </c>
      <c r="Y263">
        <v>1010.124999906941</v>
      </c>
    </row>
    <row r="264" spans="1:25">
      <c r="A264">
        <v>114.3</v>
      </c>
      <c r="B264">
        <v>5.9</v>
      </c>
      <c r="C264">
        <v>355</v>
      </c>
      <c r="D264">
        <v>107.2</v>
      </c>
      <c r="E264">
        <v>2.6246719160104992</v>
      </c>
      <c r="F264">
        <v>1989.86</v>
      </c>
      <c r="G264" s="20">
        <v>1834.119342218542</v>
      </c>
      <c r="H264">
        <v>2422.3212391150801</v>
      </c>
      <c r="I264">
        <v>2422.321468745075</v>
      </c>
      <c r="J264">
        <v>2422.2904925295329</v>
      </c>
      <c r="K264">
        <v>1916.0737999999999</v>
      </c>
      <c r="L264">
        <v>1930.3778015599521</v>
      </c>
      <c r="M264">
        <v>1903.115617044228</v>
      </c>
      <c r="N264">
        <v>2345.960935738397</v>
      </c>
      <c r="O264">
        <v>2190.3043596689072</v>
      </c>
      <c r="P264">
        <v>2090.4971054006319</v>
      </c>
      <c r="Q264" s="20">
        <v>1733.581650411777</v>
      </c>
      <c r="R264" s="20">
        <v>2129.5783203125002</v>
      </c>
      <c r="S264">
        <v>1945.6860107421876</v>
      </c>
      <c r="T264">
        <v>2157.1403520117506</v>
      </c>
      <c r="U264">
        <v>1911.6923426269227</v>
      </c>
      <c r="V264">
        <v>1769.0973754172662</v>
      </c>
    </row>
    <row r="265" spans="1:25">
      <c r="A265">
        <v>166</v>
      </c>
      <c r="B265">
        <v>5</v>
      </c>
      <c r="C265">
        <v>274.58620000000002</v>
      </c>
      <c r="D265">
        <v>28.813899030000002</v>
      </c>
      <c r="E265">
        <v>3.975903614457831</v>
      </c>
      <c r="F265">
        <v>1735.777055069085</v>
      </c>
      <c r="G265" s="20">
        <v>1961.33000572778</v>
      </c>
      <c r="H265">
        <v>2365.3939624938639</v>
      </c>
      <c r="I265">
        <v>2365.3940308391789</v>
      </c>
      <c r="J265">
        <v>2365.4094515457559</v>
      </c>
      <c r="K265">
        <v>1906.7645909061191</v>
      </c>
      <c r="L265">
        <v>1938.398295574443</v>
      </c>
      <c r="M265">
        <v>1945.0635908304309</v>
      </c>
      <c r="N265">
        <v>1946.8946053021571</v>
      </c>
      <c r="O265">
        <v>1915.9651633262961</v>
      </c>
      <c r="P265">
        <v>1901.9711544209399</v>
      </c>
      <c r="Q265" s="20">
        <v>1786.7855423650749</v>
      </c>
      <c r="R265" s="20">
        <v>1945.371362304687</v>
      </c>
      <c r="S265">
        <v>1887.723681640625</v>
      </c>
      <c r="T265">
        <v>1804.7347691137124</v>
      </c>
      <c r="U265">
        <v>1675.6992109586636</v>
      </c>
      <c r="V265">
        <v>1477.6876647227541</v>
      </c>
      <c r="W265">
        <v>1523.1379338125168</v>
      </c>
      <c r="X265">
        <v>1501.418336556176</v>
      </c>
      <c r="Y265">
        <v>1205.386929415351</v>
      </c>
    </row>
    <row r="266" spans="1:25">
      <c r="A266">
        <v>216.5</v>
      </c>
      <c r="B266">
        <v>6.61</v>
      </c>
      <c r="C266">
        <v>452</v>
      </c>
      <c r="D266">
        <v>24.3</v>
      </c>
      <c r="E266">
        <v>3.0023094688221712</v>
      </c>
      <c r="F266">
        <v>3568</v>
      </c>
      <c r="G266" s="20">
        <v>3832.9714877240249</v>
      </c>
      <c r="H266">
        <v>4890.3406906036198</v>
      </c>
      <c r="I266">
        <v>4890.3405303230793</v>
      </c>
      <c r="J266">
        <v>4890.3272821619594</v>
      </c>
      <c r="K266">
        <v>3953.51364708151</v>
      </c>
      <c r="L266">
        <v>3676.3678063216348</v>
      </c>
      <c r="M266">
        <v>3964.8410684191472</v>
      </c>
      <c r="N266">
        <v>3971.8705433261239</v>
      </c>
      <c r="O266">
        <v>3921.5268316064912</v>
      </c>
      <c r="P266">
        <v>4007.6799180653938</v>
      </c>
      <c r="Q266" s="20">
        <v>3645.8295958461181</v>
      </c>
      <c r="R266" s="20">
        <v>3733.4114746093751</v>
      </c>
      <c r="S266">
        <v>3318.2317382812498</v>
      </c>
      <c r="T266">
        <v>3708.6079253057396</v>
      </c>
      <c r="U266">
        <v>3980.1644390161446</v>
      </c>
      <c r="V266">
        <v>3572.9723537330428</v>
      </c>
      <c r="W266">
        <v>3253.7104294500796</v>
      </c>
      <c r="Y266">
        <v>2698.5648564677822</v>
      </c>
    </row>
    <row r="267" spans="1:25">
      <c r="A267">
        <v>166</v>
      </c>
      <c r="B267">
        <v>5</v>
      </c>
      <c r="C267">
        <v>274.60000000000002</v>
      </c>
      <c r="D267">
        <v>18.720078217418219</v>
      </c>
      <c r="E267">
        <v>3.012048192771084</v>
      </c>
      <c r="F267">
        <v>2045</v>
      </c>
      <c r="G267" s="20">
        <v>1993.096845581302</v>
      </c>
      <c r="H267">
        <v>2137.6301135731469</v>
      </c>
      <c r="I267">
        <v>2137.6303341147732</v>
      </c>
      <c r="J267">
        <v>2137.6782211784939</v>
      </c>
      <c r="K267">
        <v>1925.909611477842</v>
      </c>
      <c r="L267">
        <v>1971.592941100912</v>
      </c>
      <c r="M267">
        <v>1996.9306867254909</v>
      </c>
      <c r="N267">
        <v>1938.6072855379</v>
      </c>
      <c r="O267">
        <v>1918.6761386984861</v>
      </c>
      <c r="P267">
        <v>1936.994584476002</v>
      </c>
      <c r="Q267" s="20">
        <v>1772.9841932052041</v>
      </c>
      <c r="R267" s="20">
        <v>2010.792309570312</v>
      </c>
      <c r="S267">
        <v>1918.7815185546874</v>
      </c>
      <c r="T267">
        <v>1650.1180418281074</v>
      </c>
      <c r="U267">
        <v>1482.8280124552666</v>
      </c>
      <c r="V267">
        <v>1323.3975976374068</v>
      </c>
      <c r="W267">
        <v>1267.3536181476302</v>
      </c>
    </row>
    <row r="268" spans="1:25">
      <c r="A268">
        <v>108</v>
      </c>
      <c r="B268">
        <v>4.5</v>
      </c>
      <c r="C268">
        <v>409.64</v>
      </c>
      <c r="D268">
        <v>28.6</v>
      </c>
      <c r="E268">
        <v>2.2222222222222219</v>
      </c>
      <c r="F268">
        <v>1244.5999999999999</v>
      </c>
      <c r="G268" s="20">
        <v>1232.902553191489</v>
      </c>
      <c r="H268">
        <v>719.23813932209373</v>
      </c>
      <c r="I268">
        <v>719.23863165476939</v>
      </c>
      <c r="J268">
        <v>719.27915326443178</v>
      </c>
      <c r="K268">
        <v>1266.843721865974</v>
      </c>
      <c r="L268">
        <v>1241.442668962437</v>
      </c>
      <c r="M268">
        <v>1240.5654619854749</v>
      </c>
      <c r="N268">
        <v>1290.862346265993</v>
      </c>
      <c r="O268">
        <v>1284.296007784493</v>
      </c>
      <c r="P268">
        <v>1259.994566870459</v>
      </c>
      <c r="Q268" s="20">
        <v>1363.386973384574</v>
      </c>
      <c r="R268" s="20">
        <v>1249.521557617187</v>
      </c>
      <c r="S268">
        <v>1157.8229736328126</v>
      </c>
      <c r="T268">
        <v>1275.4374436892713</v>
      </c>
      <c r="U268">
        <v>1191.1558234828958</v>
      </c>
      <c r="V268">
        <v>1069.6086191103561</v>
      </c>
      <c r="W268">
        <v>1008.4729192276545</v>
      </c>
      <c r="X268">
        <v>1121.5172796189629</v>
      </c>
      <c r="Y268">
        <v>805.33800126614608</v>
      </c>
    </row>
    <row r="269" spans="1:25">
      <c r="A269">
        <v>108</v>
      </c>
      <c r="B269">
        <v>10</v>
      </c>
      <c r="C269">
        <v>366.2</v>
      </c>
      <c r="D269">
        <v>64</v>
      </c>
      <c r="E269">
        <v>3</v>
      </c>
      <c r="F269">
        <v>2086</v>
      </c>
      <c r="G269" s="20">
        <v>2122.0293107987809</v>
      </c>
      <c r="H269">
        <v>2718.342393194243</v>
      </c>
      <c r="I269">
        <v>2718.3429510406099</v>
      </c>
      <c r="J269">
        <v>2718.3068706325589</v>
      </c>
      <c r="K269">
        <v>2117.0780831168831</v>
      </c>
      <c r="L269">
        <v>2084.3345726930429</v>
      </c>
      <c r="M269">
        <v>2114.59508855281</v>
      </c>
      <c r="N269">
        <v>2153.2439385427888</v>
      </c>
      <c r="O269">
        <v>2111.9033472982969</v>
      </c>
      <c r="P269">
        <v>2162.3823002856739</v>
      </c>
      <c r="Q269" s="20">
        <v>1955.4810776070881</v>
      </c>
      <c r="R269" s="20">
        <v>2098.3102050781249</v>
      </c>
      <c r="S269">
        <v>2170.2432617187501</v>
      </c>
      <c r="T269">
        <v>2206.0095234079627</v>
      </c>
      <c r="U269">
        <v>2215.7122684928886</v>
      </c>
      <c r="V269">
        <v>1975.4074208826376</v>
      </c>
      <c r="W269">
        <v>1813.7148538056504</v>
      </c>
      <c r="Y269">
        <v>1485.492544389926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2121-72E2-4804-BEA1-19E163F706CA}">
  <dimension ref="A1:J41"/>
  <sheetViews>
    <sheetView tabSelected="1" zoomScale="96" zoomScaleNormal="96" workbookViewId="0">
      <selection activeCell="E29" sqref="E29"/>
    </sheetView>
  </sheetViews>
  <sheetFormatPr defaultColWidth="8.75" defaultRowHeight="15"/>
  <cols>
    <col min="1" max="1" width="11.125" style="1" customWidth="1"/>
    <col min="2" max="2" width="5.125" style="1" customWidth="1"/>
    <col min="3" max="3" width="9.25" style="1" customWidth="1"/>
    <col min="4" max="4" width="9.5" style="1" customWidth="1"/>
    <col min="5" max="5" width="12.125" style="1" customWidth="1"/>
    <col min="6" max="6" width="10.125" style="1" customWidth="1"/>
    <col min="7" max="7" width="8" style="1" customWidth="1"/>
    <col min="8" max="9" width="10.5" style="1" customWidth="1"/>
    <col min="10" max="10" width="8.875" style="1" customWidth="1"/>
    <col min="11" max="16384" width="8.75" style="1"/>
  </cols>
  <sheetData>
    <row r="1" spans="1:9" ht="36.75" customHeight="1">
      <c r="A1" s="50" t="s">
        <v>21</v>
      </c>
      <c r="B1" s="51" t="s">
        <v>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27</v>
      </c>
      <c r="H1" s="1" t="s">
        <v>52</v>
      </c>
      <c r="I1" s="1" t="s">
        <v>53</v>
      </c>
    </row>
    <row r="2" spans="1:9" ht="17.100000000000001" customHeight="1">
      <c r="A2" s="99" t="s">
        <v>23</v>
      </c>
      <c r="B2" s="52" t="s">
        <v>4</v>
      </c>
      <c r="C2" s="79">
        <v>0.85864475265882123</v>
      </c>
      <c r="D2" s="57">
        <v>794.51441929333964</v>
      </c>
      <c r="E2" s="57">
        <v>1784940.584391786</v>
      </c>
      <c r="F2" s="57">
        <v>1336.016685671173</v>
      </c>
      <c r="G2" s="56">
        <v>0.35367372353673732</v>
      </c>
      <c r="H2" s="59">
        <v>0.45264952239423528</v>
      </c>
      <c r="I2" s="59">
        <v>2.243005685533658</v>
      </c>
    </row>
    <row r="3" spans="1:9" ht="17.100000000000001" customHeight="1">
      <c r="A3" s="95"/>
      <c r="B3" s="53" t="s">
        <v>5</v>
      </c>
      <c r="C3" s="79">
        <v>0.87097473834206318</v>
      </c>
      <c r="D3" s="57">
        <v>834.97753763863898</v>
      </c>
      <c r="E3" s="57">
        <v>1796718.93923799</v>
      </c>
      <c r="F3" s="57">
        <v>1340.417449617092</v>
      </c>
      <c r="G3" s="56">
        <v>0.30970149253731338</v>
      </c>
      <c r="H3" s="59">
        <v>0.28697337786165661</v>
      </c>
      <c r="I3" s="59">
        <v>2.580591281352941</v>
      </c>
    </row>
    <row r="4" spans="1:9" ht="17.100000000000001" customHeight="1">
      <c r="A4" s="95" t="s">
        <v>11</v>
      </c>
      <c r="B4" s="53" t="s">
        <v>4</v>
      </c>
      <c r="C4" s="79">
        <v>0.85864475258832917</v>
      </c>
      <c r="D4" s="57">
        <v>794.51430430735888</v>
      </c>
      <c r="E4" s="57">
        <v>1784940.5852819129</v>
      </c>
      <c r="F4" s="57">
        <v>1336.0166860043</v>
      </c>
      <c r="G4" s="56">
        <v>0.35367372353673732</v>
      </c>
      <c r="H4" s="59">
        <v>0.45264970172200819</v>
      </c>
      <c r="I4" s="59">
        <v>2.243005375594282</v>
      </c>
    </row>
    <row r="5" spans="1:9" ht="17.100000000000001" customHeight="1">
      <c r="A5" s="95"/>
      <c r="B5" s="53" t="s">
        <v>5</v>
      </c>
      <c r="C5" s="79">
        <v>0.87097474627361726</v>
      </c>
      <c r="D5" s="57">
        <v>834.97741437412253</v>
      </c>
      <c r="E5" s="57">
        <v>1796718.828788508</v>
      </c>
      <c r="F5" s="57">
        <v>1340.4174084174331</v>
      </c>
      <c r="G5" s="56">
        <v>0.30970149253731338</v>
      </c>
      <c r="H5" s="59">
        <v>0.28697357048275668</v>
      </c>
      <c r="I5" s="59">
        <v>2.5805909517923231</v>
      </c>
    </row>
    <row r="6" spans="1:9" ht="17.100000000000001" customHeight="1">
      <c r="A6" s="95" t="s">
        <v>12</v>
      </c>
      <c r="B6" s="53" t="s">
        <v>4</v>
      </c>
      <c r="C6" s="79">
        <v>0.85864490467358889</v>
      </c>
      <c r="D6" s="57">
        <v>794.50562475334561</v>
      </c>
      <c r="E6" s="57">
        <v>1784938.6648498289</v>
      </c>
      <c r="F6" s="57">
        <v>1336.0159672885011</v>
      </c>
      <c r="G6" s="56">
        <v>0.35367372353673732</v>
      </c>
      <c r="H6" s="59">
        <v>0.4526562895621733</v>
      </c>
      <c r="I6" s="59">
        <v>2.243018864136809</v>
      </c>
    </row>
    <row r="7" spans="1:9" ht="17.100000000000001" customHeight="1">
      <c r="A7" s="98"/>
      <c r="B7" s="54" t="s">
        <v>5</v>
      </c>
      <c r="C7" s="79">
        <v>0.87097449399306881</v>
      </c>
      <c r="D7" s="57">
        <v>834.9720085764626</v>
      </c>
      <c r="E7" s="57">
        <v>1796722.3418776011</v>
      </c>
      <c r="F7" s="57">
        <v>1340.4187188627291</v>
      </c>
      <c r="G7" s="56">
        <v>0.30970149253731338</v>
      </c>
      <c r="H7" s="59">
        <v>0.28697716016397878</v>
      </c>
      <c r="I7" s="59">
        <v>2.5806149093406039</v>
      </c>
    </row>
    <row r="8" spans="1:9" ht="17.100000000000001" customHeight="1">
      <c r="A8" s="99" t="s">
        <v>7</v>
      </c>
      <c r="B8" s="1" t="s">
        <v>4</v>
      </c>
      <c r="C8" s="79">
        <v>0.90299837041331787</v>
      </c>
      <c r="D8" s="64">
        <v>267.33754869529719</v>
      </c>
      <c r="E8" s="64">
        <v>1224872.4306888119</v>
      </c>
      <c r="F8" s="64">
        <v>1106.739549618072</v>
      </c>
      <c r="G8" s="79">
        <v>0.92029887920298881</v>
      </c>
      <c r="H8" s="81">
        <v>1.0091220321217129</v>
      </c>
      <c r="I8" s="81">
        <v>0.1220083440324425</v>
      </c>
    </row>
    <row r="9" spans="1:9" ht="17.100000000000001" customHeight="1">
      <c r="A9" s="95"/>
      <c r="B9" s="1" t="s">
        <v>5</v>
      </c>
      <c r="C9" s="79">
        <v>0.95665870347409465</v>
      </c>
      <c r="D9" s="64">
        <v>233.1900916868677</v>
      </c>
      <c r="E9" s="64">
        <v>603541.71980424528</v>
      </c>
      <c r="F9" s="64">
        <v>776.87947572596181</v>
      </c>
      <c r="G9" s="79">
        <v>0.93283582089552242</v>
      </c>
      <c r="H9" s="81">
        <v>1.0163469802395391</v>
      </c>
      <c r="I9" s="81">
        <v>0.1033324817910759</v>
      </c>
    </row>
    <row r="10" spans="1:9" ht="17.100000000000001" customHeight="1">
      <c r="A10" s="95" t="s">
        <v>8</v>
      </c>
      <c r="B10" s="53" t="s">
        <v>4</v>
      </c>
      <c r="C10" s="79">
        <v>0.96779220915475594</v>
      </c>
      <c r="D10" s="64">
        <v>185.8095678218333</v>
      </c>
      <c r="E10" s="64">
        <v>406698.68359765533</v>
      </c>
      <c r="F10" s="64">
        <v>637.7293184397713</v>
      </c>
      <c r="G10" s="79">
        <v>0.92901618929016194</v>
      </c>
      <c r="H10" s="81">
        <v>1.0058936908621079</v>
      </c>
      <c r="I10" s="81">
        <v>0.1084822575515083</v>
      </c>
    </row>
    <row r="11" spans="1:9" ht="17.100000000000001" customHeight="1">
      <c r="A11" s="95"/>
      <c r="B11" s="53" t="s">
        <v>5</v>
      </c>
      <c r="C11" s="79">
        <v>0.99179740871299982</v>
      </c>
      <c r="D11" s="64">
        <v>149.89891626147249</v>
      </c>
      <c r="E11" s="64">
        <v>114223.7646086194</v>
      </c>
      <c r="F11" s="64">
        <v>337.97006466345408</v>
      </c>
      <c r="G11" s="79">
        <v>0.97014925373134331</v>
      </c>
      <c r="H11" s="81">
        <v>1.0134545682189671</v>
      </c>
      <c r="I11" s="81">
        <v>8.5063358046463991E-2</v>
      </c>
    </row>
    <row r="12" spans="1:9" ht="17.100000000000001" customHeight="1">
      <c r="A12" s="95" t="s">
        <v>9</v>
      </c>
      <c r="B12" s="53" t="s">
        <v>4</v>
      </c>
      <c r="C12" s="79">
        <v>0.92095295721751858</v>
      </c>
      <c r="D12" s="64">
        <v>297.27079994591458</v>
      </c>
      <c r="E12" s="64">
        <v>998153.78199619288</v>
      </c>
      <c r="F12" s="64">
        <v>999.0764645392228</v>
      </c>
      <c r="G12" s="79">
        <v>0.88044831880448315</v>
      </c>
      <c r="H12" s="81">
        <v>1.013168181443685</v>
      </c>
      <c r="I12" s="81">
        <v>0.14967563837827899</v>
      </c>
    </row>
    <row r="13" spans="1:9" ht="17.100000000000001" customHeight="1">
      <c r="A13" s="95"/>
      <c r="B13" s="53" t="s">
        <v>5</v>
      </c>
      <c r="C13" s="79">
        <v>0.98035194357353861</v>
      </c>
      <c r="D13" s="64">
        <v>222.70183924651141</v>
      </c>
      <c r="E13" s="64">
        <v>273605.60751452082</v>
      </c>
      <c r="F13" s="64">
        <v>523.07323341432868</v>
      </c>
      <c r="G13" s="79">
        <v>0.88432835820895528</v>
      </c>
      <c r="H13" s="81">
        <v>1.0210508960888549</v>
      </c>
      <c r="I13" s="81">
        <v>0.12890634263260919</v>
      </c>
    </row>
    <row r="14" spans="1:9" ht="17.100000000000001" customHeight="1">
      <c r="A14" s="95" t="s">
        <v>6</v>
      </c>
      <c r="B14" s="53" t="s">
        <v>4</v>
      </c>
      <c r="C14" s="79">
        <v>0.96562817344242535</v>
      </c>
      <c r="D14" s="64">
        <v>197.60826005001439</v>
      </c>
      <c r="E14" s="64">
        <v>434024.69548378681</v>
      </c>
      <c r="F14" s="64">
        <v>658.80550656759601</v>
      </c>
      <c r="G14" s="79">
        <v>0.92278953922789542</v>
      </c>
      <c r="H14" s="81">
        <v>1.011575775433754</v>
      </c>
      <c r="I14" s="81">
        <v>0.1146266701275741</v>
      </c>
    </row>
    <row r="15" spans="1:9" ht="17.100000000000001" customHeight="1">
      <c r="A15" s="95"/>
      <c r="B15" s="53" t="s">
        <v>5</v>
      </c>
      <c r="C15" s="80">
        <v>0.99290057865713954</v>
      </c>
      <c r="D15" s="104">
        <v>147.45103308498619</v>
      </c>
      <c r="E15" s="104">
        <v>98861.762576113542</v>
      </c>
      <c r="F15" s="104">
        <v>314.42290402595279</v>
      </c>
      <c r="G15" s="80">
        <v>0.97388059701492535</v>
      </c>
      <c r="H15" s="105">
        <v>1.0192749188490231</v>
      </c>
      <c r="I15" s="105">
        <v>8.20431695990511E-2</v>
      </c>
    </row>
    <row r="16" spans="1:9" ht="17.100000000000001" customHeight="1">
      <c r="A16" s="95" t="s">
        <v>10</v>
      </c>
      <c r="B16" s="53" t="s">
        <v>4</v>
      </c>
      <c r="C16" s="79">
        <v>0.96306144562581575</v>
      </c>
      <c r="D16" s="64">
        <v>190.0270266601068</v>
      </c>
      <c r="E16" s="64">
        <v>466435.6369601636</v>
      </c>
      <c r="F16" s="64">
        <v>682.96093369984465</v>
      </c>
      <c r="G16" s="79">
        <v>0.93773349937733497</v>
      </c>
      <c r="H16" s="81">
        <v>1.011153909182962</v>
      </c>
      <c r="I16" s="81">
        <v>0.1180568881262415</v>
      </c>
    </row>
    <row r="17" spans="1:10" ht="17.100000000000001" customHeight="1">
      <c r="A17" s="98"/>
      <c r="B17" s="54" t="s">
        <v>5</v>
      </c>
      <c r="C17" s="79">
        <v>0.98997861888743532</v>
      </c>
      <c r="D17" s="64">
        <v>139.52061718104909</v>
      </c>
      <c r="E17" s="64">
        <v>139551.00738336041</v>
      </c>
      <c r="F17" s="64">
        <v>373.56526522598477</v>
      </c>
      <c r="G17" s="79">
        <v>0.96268656716417911</v>
      </c>
      <c r="H17" s="81">
        <v>1.012300023898332</v>
      </c>
      <c r="I17" s="81">
        <v>8.4691905462316711E-2</v>
      </c>
    </row>
    <row r="18" spans="1:10" ht="17.100000000000001" customHeight="1">
      <c r="A18" s="99" t="s">
        <v>24</v>
      </c>
      <c r="B18" s="52" t="s">
        <v>4</v>
      </c>
      <c r="C18" s="79">
        <v>0.85154880317521719</v>
      </c>
      <c r="D18" s="57">
        <v>473.50087385705177</v>
      </c>
      <c r="E18" s="57">
        <v>1874543.541878805</v>
      </c>
      <c r="F18" s="57">
        <v>1369.139708677973</v>
      </c>
      <c r="G18" s="56">
        <v>0.75466998754669989</v>
      </c>
      <c r="H18" s="59">
        <v>1.035766243013577</v>
      </c>
      <c r="I18" s="59">
        <v>0.24622990943914599</v>
      </c>
    </row>
    <row r="19" spans="1:10" ht="17.100000000000001" customHeight="1">
      <c r="A19" s="95"/>
      <c r="B19" s="53" t="s">
        <v>5</v>
      </c>
      <c r="C19" s="79">
        <v>0.95961398709471468</v>
      </c>
      <c r="D19" s="57">
        <v>311.3720314466027</v>
      </c>
      <c r="E19" s="57">
        <v>562388.42948141764</v>
      </c>
      <c r="F19" s="57">
        <v>749.925615965622</v>
      </c>
      <c r="G19" s="56">
        <v>0.81343283582089554</v>
      </c>
      <c r="H19" s="59">
        <v>1.0382202568253029</v>
      </c>
      <c r="I19" s="59">
        <v>0.1604263032971511</v>
      </c>
    </row>
    <row r="20" spans="1:10" ht="17.100000000000001" customHeight="1">
      <c r="A20" s="95" t="s">
        <v>25</v>
      </c>
      <c r="B20" s="53" t="s">
        <v>4</v>
      </c>
      <c r="C20" s="79">
        <v>0.91708468580940949</v>
      </c>
      <c r="D20" s="57">
        <v>272.12342928737212</v>
      </c>
      <c r="E20" s="57">
        <v>1046999.755227813</v>
      </c>
      <c r="F20" s="57">
        <v>1023.230059775324</v>
      </c>
      <c r="G20" s="56">
        <v>0.88667496886674968</v>
      </c>
      <c r="H20" s="59">
        <v>1.030724100408255</v>
      </c>
      <c r="I20" s="59">
        <v>0.15901402972404721</v>
      </c>
    </row>
    <row r="21" spans="1:10" ht="17.100000000000001" customHeight="1">
      <c r="A21" s="95"/>
      <c r="B21" s="53" t="s">
        <v>5</v>
      </c>
      <c r="C21" s="79">
        <v>0.98437275236303745</v>
      </c>
      <c r="D21" s="57">
        <v>195.48280260729851</v>
      </c>
      <c r="E21" s="57">
        <v>217614.53095852389</v>
      </c>
      <c r="F21" s="57">
        <v>466.49172657028328</v>
      </c>
      <c r="G21" s="56">
        <v>0.90298507462686572</v>
      </c>
      <c r="H21" s="59">
        <v>1.0359442379318211</v>
      </c>
      <c r="I21" s="59">
        <v>0.1203230020557102</v>
      </c>
    </row>
    <row r="22" spans="1:10" ht="17.100000000000001" customHeight="1">
      <c r="A22" s="95" t="s">
        <v>26</v>
      </c>
      <c r="B22" s="53" t="s">
        <v>4</v>
      </c>
      <c r="C22" s="79">
        <v>0.95610558495932196</v>
      </c>
      <c r="D22" s="57">
        <v>185.9739790916135</v>
      </c>
      <c r="E22" s="57">
        <v>554269.64550625032</v>
      </c>
      <c r="F22" s="57">
        <v>744.49287807624478</v>
      </c>
      <c r="G22" s="56">
        <v>0.92029887920298881</v>
      </c>
      <c r="H22" s="59">
        <v>1.0209075879743339</v>
      </c>
      <c r="I22" s="59">
        <v>0.1205565405321178</v>
      </c>
    </row>
    <row r="23" spans="1:10" ht="17.100000000000001" customHeight="1">
      <c r="A23" s="98"/>
      <c r="B23" s="54" t="s">
        <v>5</v>
      </c>
      <c r="C23" s="79">
        <v>0.97614756532392399</v>
      </c>
      <c r="D23" s="57">
        <v>172.95840793029191</v>
      </c>
      <c r="E23" s="57">
        <v>332152.94880052347</v>
      </c>
      <c r="F23" s="57">
        <v>576.32711961222458</v>
      </c>
      <c r="G23" s="56">
        <v>0.92164179104477617</v>
      </c>
      <c r="H23" s="59">
        <v>1.0254622181407109</v>
      </c>
      <c r="I23" s="59">
        <v>9.772050312370209E-2</v>
      </c>
    </row>
    <row r="24" spans="1:10" s="55" customFormat="1" ht="17.100000000000001" customHeight="1">
      <c r="A24" s="96" t="s">
        <v>31</v>
      </c>
      <c r="B24" s="55" t="s">
        <v>4</v>
      </c>
      <c r="C24" s="80">
        <v>0.90645970960827094</v>
      </c>
      <c r="D24" s="58">
        <v>273.87759500481121</v>
      </c>
      <c r="E24" s="58">
        <v>1181164.9283383291</v>
      </c>
      <c r="F24" s="58">
        <v>1086.814118577013</v>
      </c>
      <c r="G24" s="61">
        <v>0.84806973848069733</v>
      </c>
      <c r="H24" s="60">
        <v>1.0183260910517109</v>
      </c>
      <c r="I24" s="60">
        <v>0.18609168683613711</v>
      </c>
    </row>
    <row r="25" spans="1:10" s="55" customFormat="1" ht="17.100000000000001" customHeight="1">
      <c r="A25" s="100"/>
      <c r="B25" s="55" t="s">
        <v>5</v>
      </c>
      <c r="C25" s="80">
        <v>0.97052281677038033</v>
      </c>
      <c r="D25" s="58">
        <v>221.68757801135081</v>
      </c>
      <c r="E25" s="58">
        <v>410479.41080294899</v>
      </c>
      <c r="F25" s="58">
        <v>640.6866713167592</v>
      </c>
      <c r="G25" s="61">
        <v>0.88432835820895528</v>
      </c>
      <c r="H25" s="60">
        <v>1.0362070191800961</v>
      </c>
      <c r="I25" s="60">
        <v>0.14733877497702719</v>
      </c>
    </row>
    <row r="26" spans="1:10" ht="17.100000000000001" customHeight="1">
      <c r="A26" s="99" t="s">
        <v>44</v>
      </c>
      <c r="B26" s="52" t="s">
        <v>4</v>
      </c>
      <c r="C26" s="76">
        <v>0.98700654682100963</v>
      </c>
      <c r="D26" s="78">
        <v>211.7460588574431</v>
      </c>
      <c r="E26" s="78">
        <v>164072.73409947223</v>
      </c>
      <c r="F26" s="78">
        <v>405.0589267001435</v>
      </c>
      <c r="G26" s="76">
        <f>81.9427148194272/100</f>
        <v>0.81942714819427198</v>
      </c>
      <c r="H26" s="77">
        <v>1.0162132075737291</v>
      </c>
      <c r="I26" s="77">
        <v>0.22066732608033937</v>
      </c>
    </row>
    <row r="27" spans="1:10" ht="17.100000000000001" customHeight="1">
      <c r="A27" s="95"/>
      <c r="B27" s="53" t="s">
        <v>5</v>
      </c>
      <c r="C27" s="76">
        <v>0.98957460049610813</v>
      </c>
      <c r="D27" s="78">
        <v>172.81514820611022</v>
      </c>
      <c r="E27" s="78">
        <v>145177.09553207181</v>
      </c>
      <c r="F27" s="78">
        <v>381.02112216000808</v>
      </c>
      <c r="G27" s="76">
        <f>87.3134328358209/100</f>
        <v>0.87313432835820903</v>
      </c>
      <c r="H27" s="77">
        <v>1.0385589795074581</v>
      </c>
      <c r="I27" s="77">
        <v>0.13092324640423128</v>
      </c>
    </row>
    <row r="28" spans="1:10" ht="17.100000000000001" customHeight="1">
      <c r="A28" s="95" t="s">
        <v>86</v>
      </c>
      <c r="B28" s="53" t="s">
        <v>4</v>
      </c>
      <c r="C28" s="76">
        <v>0.98952305323416523</v>
      </c>
      <c r="D28" s="78">
        <v>217.82434575820537</v>
      </c>
      <c r="E28" s="78">
        <v>132295.95529421157</v>
      </c>
      <c r="F28" s="78">
        <v>363.72510951845402</v>
      </c>
      <c r="G28" s="76">
        <f>80.9464508094645/100</f>
        <v>0.80946450809464499</v>
      </c>
      <c r="H28" s="77">
        <v>1.039670956564944</v>
      </c>
      <c r="I28" s="77">
        <v>0.16297933369882422</v>
      </c>
    </row>
    <row r="29" spans="1:10" ht="17.100000000000001" customHeight="1">
      <c r="A29" s="98"/>
      <c r="B29" s="54" t="s">
        <v>5</v>
      </c>
      <c r="C29" s="76">
        <v>0.99470187927133913</v>
      </c>
      <c r="D29" s="78">
        <v>182.05970097394686</v>
      </c>
      <c r="E29" s="78">
        <v>73778.062785806906</v>
      </c>
      <c r="F29" s="78">
        <v>271.62117514252617</v>
      </c>
      <c r="G29" s="76">
        <f>83.2089552238806/100</f>
        <v>0.83208955223880599</v>
      </c>
      <c r="H29" s="77">
        <v>1.0508333853037042</v>
      </c>
      <c r="I29" s="77">
        <v>0.13921259721894055</v>
      </c>
    </row>
    <row r="30" spans="1:10" s="55" customFormat="1" ht="17.100000000000001" customHeight="1">
      <c r="A30" s="96" t="s">
        <v>13</v>
      </c>
      <c r="B30" s="67" t="s">
        <v>4</v>
      </c>
      <c r="C30" s="68">
        <v>0.92168693648648659</v>
      </c>
      <c r="D30" s="69">
        <v>507.0099250864597</v>
      </c>
      <c r="E30" s="69">
        <v>748929.15209215146</v>
      </c>
      <c r="F30" s="69">
        <v>865.40692861344223</v>
      </c>
      <c r="G30" s="68">
        <v>0.33935018050541521</v>
      </c>
      <c r="H30" s="70">
        <v>0.75657001268229684</v>
      </c>
      <c r="I30" s="70">
        <v>0.1224305458861361</v>
      </c>
      <c r="J30" s="65" t="s">
        <v>96</v>
      </c>
    </row>
    <row r="31" spans="1:10" s="55" customFormat="1" ht="17.100000000000001" customHeight="1">
      <c r="A31" s="97"/>
      <c r="B31" s="71" t="s">
        <v>5</v>
      </c>
      <c r="C31" s="61">
        <v>0.90279533424516778</v>
      </c>
      <c r="D31" s="58">
        <v>461.40162325320313</v>
      </c>
      <c r="E31" s="58">
        <v>510537.59123126941</v>
      </c>
      <c r="F31" s="58">
        <v>714.51913286578224</v>
      </c>
      <c r="G31" s="61">
        <v>0.37362637362637358</v>
      </c>
      <c r="H31" s="60">
        <v>0.76338735202363239</v>
      </c>
      <c r="I31" s="60">
        <v>0.1159373736892368</v>
      </c>
      <c r="J31" s="55" t="s">
        <v>97</v>
      </c>
    </row>
    <row r="32" spans="1:10" s="55" customFormat="1" ht="17.100000000000001" customHeight="1">
      <c r="A32" s="97" t="s">
        <v>14</v>
      </c>
      <c r="B32" s="71" t="s">
        <v>4</v>
      </c>
      <c r="C32" s="61">
        <v>0.95267278840301606</v>
      </c>
      <c r="D32" s="58">
        <v>231.1251739656341</v>
      </c>
      <c r="E32" s="58">
        <v>162010.10707904291</v>
      </c>
      <c r="F32" s="58">
        <v>402.50479137401948</v>
      </c>
      <c r="G32" s="61">
        <v>0.79881656804733725</v>
      </c>
      <c r="H32" s="60">
        <v>0.92993446715467365</v>
      </c>
      <c r="I32" s="60">
        <v>0.14196615983690061</v>
      </c>
      <c r="J32" s="55" t="s">
        <v>98</v>
      </c>
    </row>
    <row r="33" spans="1:10" s="55" customFormat="1" ht="17.100000000000001" customHeight="1">
      <c r="A33" s="100"/>
      <c r="B33" s="72" t="s">
        <v>5</v>
      </c>
      <c r="C33" s="73">
        <v>0.9781561481914457</v>
      </c>
      <c r="D33" s="74">
        <v>224.87272783580119</v>
      </c>
      <c r="E33" s="74">
        <v>159041.7479321431</v>
      </c>
      <c r="F33" s="74">
        <v>398.80038607321222</v>
      </c>
      <c r="G33" s="73">
        <v>0.78095238095238095</v>
      </c>
      <c r="H33" s="75">
        <v>0.92555825327682606</v>
      </c>
      <c r="I33" s="75">
        <v>0.13242109104633371</v>
      </c>
      <c r="J33" s="66" t="s">
        <v>99</v>
      </c>
    </row>
    <row r="34" spans="1:10" s="55" customFormat="1" ht="17.100000000000001" customHeight="1">
      <c r="A34" s="96" t="s">
        <v>28</v>
      </c>
      <c r="B34" s="67" t="s">
        <v>4</v>
      </c>
      <c r="C34" s="68">
        <v>0.96226025444375018</v>
      </c>
      <c r="D34" s="69">
        <v>366.83287778081512</v>
      </c>
      <c r="E34" s="69">
        <v>451919.41029788525</v>
      </c>
      <c r="F34" s="69">
        <v>672.24951491085903</v>
      </c>
      <c r="G34" s="68">
        <v>0.7203647416413369</v>
      </c>
      <c r="H34" s="70">
        <v>0.8903961828169753</v>
      </c>
      <c r="I34" s="70">
        <v>0.14009638725134577</v>
      </c>
      <c r="J34" s="65" t="s">
        <v>100</v>
      </c>
    </row>
    <row r="35" spans="1:10" s="55" customFormat="1" ht="17.100000000000001" customHeight="1">
      <c r="A35" s="97"/>
      <c r="B35" s="71" t="s">
        <v>5</v>
      </c>
      <c r="C35" s="61">
        <v>0.96632835842348386</v>
      </c>
      <c r="D35" s="58">
        <v>295.52000143939557</v>
      </c>
      <c r="E35" s="58">
        <v>284456.73818763578</v>
      </c>
      <c r="F35" s="58">
        <v>533.34485859304561</v>
      </c>
      <c r="G35" s="61">
        <v>0.76036866359447008</v>
      </c>
      <c r="H35" s="60">
        <v>0.91045751660647078</v>
      </c>
      <c r="I35" s="60">
        <v>0.13309651209471432</v>
      </c>
      <c r="J35" s="55" t="s">
        <v>101</v>
      </c>
    </row>
    <row r="36" spans="1:10" s="55" customFormat="1" ht="17.100000000000001" customHeight="1">
      <c r="A36" s="97" t="s">
        <v>29</v>
      </c>
      <c r="B36" s="71" t="s">
        <v>4</v>
      </c>
      <c r="C36" s="61">
        <v>0.9869580181598141</v>
      </c>
      <c r="D36" s="58">
        <v>250.09742152537174</v>
      </c>
      <c r="E36" s="58">
        <v>164685.5219407682</v>
      </c>
      <c r="F36" s="58">
        <v>405.81463987979561</v>
      </c>
      <c r="G36" s="61">
        <v>0.79701120797011205</v>
      </c>
      <c r="H36" s="60">
        <v>1.0127399968021853</v>
      </c>
      <c r="I36" s="60">
        <v>0.15692850395916424</v>
      </c>
    </row>
    <row r="37" spans="1:10" s="55" customFormat="1" ht="17.100000000000001" customHeight="1">
      <c r="A37" s="97"/>
      <c r="B37" s="71" t="s">
        <v>5</v>
      </c>
      <c r="C37" s="61">
        <v>0.9868840114993721</v>
      </c>
      <c r="D37" s="58">
        <v>243.03480333687153</v>
      </c>
      <c r="E37" s="58">
        <v>182644.42670445264</v>
      </c>
      <c r="F37" s="58">
        <v>427.36919250742983</v>
      </c>
      <c r="G37" s="61">
        <v>0.81343283582089598</v>
      </c>
      <c r="H37" s="60">
        <v>1.0293926606398436</v>
      </c>
      <c r="I37" s="60">
        <v>0.15087588120468942</v>
      </c>
    </row>
    <row r="38" spans="1:10" s="55" customFormat="1" ht="17.100000000000001" customHeight="1">
      <c r="A38" s="97" t="s">
        <v>30</v>
      </c>
      <c r="B38" s="71" t="s">
        <v>4</v>
      </c>
      <c r="C38" s="61">
        <v>0.95440113260582848</v>
      </c>
      <c r="D38" s="58">
        <v>349.9732277275686</v>
      </c>
      <c r="E38" s="58">
        <v>526504.22216907947</v>
      </c>
      <c r="F38" s="58">
        <v>725.60610676115414</v>
      </c>
      <c r="G38" s="61">
        <v>0.68378812199036898</v>
      </c>
      <c r="H38" s="60">
        <v>0.90266399002639908</v>
      </c>
      <c r="I38" s="60">
        <v>0.16396780849477793</v>
      </c>
      <c r="J38" s="55" t="s">
        <v>102</v>
      </c>
    </row>
    <row r="39" spans="1:10" s="55" customFormat="1" ht="17.100000000000001" customHeight="1">
      <c r="A39" s="100"/>
      <c r="B39" s="72" t="s">
        <v>5</v>
      </c>
      <c r="C39" s="73">
        <v>0.95653381627325196</v>
      </c>
      <c r="D39" s="74">
        <v>325.30572138630561</v>
      </c>
      <c r="E39" s="74">
        <v>574925.79751127621</v>
      </c>
      <c r="F39" s="74">
        <v>758.23861515440922</v>
      </c>
      <c r="G39" s="73">
        <v>0.74757281553398103</v>
      </c>
      <c r="H39" s="75">
        <v>0.91480341479927063</v>
      </c>
      <c r="I39" s="75">
        <v>0.15279849759548847</v>
      </c>
      <c r="J39" s="66" t="s">
        <v>103</v>
      </c>
    </row>
    <row r="40" spans="1:10">
      <c r="A40" s="95"/>
      <c r="B40" s="95"/>
      <c r="C40" s="95"/>
      <c r="D40" s="95"/>
      <c r="E40" s="95"/>
      <c r="F40" s="95"/>
      <c r="G40" s="95"/>
      <c r="H40" s="95"/>
    </row>
    <row r="41" spans="1:10">
      <c r="A41" s="95"/>
      <c r="B41" s="95"/>
      <c r="C41" s="95"/>
      <c r="D41" s="95"/>
      <c r="E41" s="95"/>
      <c r="F41" s="95"/>
      <c r="G41" s="95"/>
      <c r="H41" s="95"/>
    </row>
  </sheetData>
  <mergeCells count="21">
    <mergeCell ref="A41:H41"/>
    <mergeCell ref="A2:A3"/>
    <mergeCell ref="A4:A5"/>
    <mergeCell ref="A6:A7"/>
    <mergeCell ref="A8:A9"/>
    <mergeCell ref="A10:A11"/>
    <mergeCell ref="A12:A13"/>
    <mergeCell ref="A16:A17"/>
    <mergeCell ref="A20:A21"/>
    <mergeCell ref="A30:A31"/>
    <mergeCell ref="A32:A33"/>
    <mergeCell ref="A24:A25"/>
    <mergeCell ref="A38:A39"/>
    <mergeCell ref="A18:A19"/>
    <mergeCell ref="A22:A23"/>
    <mergeCell ref="A40:H40"/>
    <mergeCell ref="A14:A15"/>
    <mergeCell ref="A34:A35"/>
    <mergeCell ref="A36:A37"/>
    <mergeCell ref="A28:A29"/>
    <mergeCell ref="A26:A2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C36E-5081-4EFA-A5BE-A379564460C9}">
  <dimension ref="A1:H39"/>
  <sheetViews>
    <sheetView topLeftCell="A8" workbookViewId="0">
      <selection activeCell="D34" sqref="D34"/>
    </sheetView>
  </sheetViews>
  <sheetFormatPr defaultColWidth="8.75" defaultRowHeight="15" customHeight="1"/>
  <cols>
    <col min="1" max="1" width="13" style="1" customWidth="1"/>
    <col min="2" max="2" width="8.75" style="1" customWidth="1"/>
    <col min="3" max="3" width="17.375" style="1" customWidth="1"/>
    <col min="4" max="4" width="25.75" style="1" customWidth="1"/>
    <col min="5" max="5" width="11.5" style="1" customWidth="1"/>
    <col min="6" max="16384" width="8.75" style="3"/>
  </cols>
  <sheetData>
    <row r="1" spans="1:8" ht="33" customHeight="1">
      <c r="A1" s="2" t="s">
        <v>15</v>
      </c>
      <c r="B1" s="37" t="s">
        <v>83</v>
      </c>
      <c r="C1" s="37" t="s">
        <v>58</v>
      </c>
      <c r="D1" s="37" t="s">
        <v>111</v>
      </c>
      <c r="E1" s="2" t="s">
        <v>57</v>
      </c>
    </row>
    <row r="2" spans="1:8" s="33" customFormat="1" ht="15" customHeight="1">
      <c r="A2" s="99" t="s">
        <v>76</v>
      </c>
      <c r="B2" s="38" t="s">
        <v>23</v>
      </c>
      <c r="C2" s="39" t="s">
        <v>70</v>
      </c>
      <c r="D2" s="40" t="s">
        <v>71</v>
      </c>
      <c r="E2" s="39" t="b">
        <v>1</v>
      </c>
    </row>
    <row r="3" spans="1:8" s="33" customFormat="1" ht="15" customHeight="1">
      <c r="A3" s="95"/>
      <c r="B3" s="1" t="s">
        <v>11</v>
      </c>
      <c r="C3" s="1" t="s">
        <v>72</v>
      </c>
      <c r="D3" s="1" t="s">
        <v>113</v>
      </c>
      <c r="E3" s="41">
        <v>1E-4</v>
      </c>
    </row>
    <row r="4" spans="1:8" s="33" customFormat="1" ht="15" customHeight="1">
      <c r="A4" s="95"/>
      <c r="B4" s="95" t="s">
        <v>12</v>
      </c>
      <c r="C4" s="1" t="s">
        <v>72</v>
      </c>
      <c r="D4" s="1" t="s">
        <v>113</v>
      </c>
      <c r="E4" s="41">
        <v>2.237303660598464E-2</v>
      </c>
    </row>
    <row r="5" spans="1:8" s="33" customFormat="1" ht="15" customHeight="1">
      <c r="A5" s="98"/>
      <c r="B5" s="98"/>
      <c r="C5" s="36" t="s">
        <v>73</v>
      </c>
      <c r="D5" s="36" t="s">
        <v>92</v>
      </c>
      <c r="E5" s="42">
        <v>10000</v>
      </c>
    </row>
    <row r="6" spans="1:8" s="33" customFormat="1" ht="15" customHeight="1">
      <c r="A6" s="101" t="s">
        <v>77</v>
      </c>
      <c r="B6" s="99" t="s">
        <v>7</v>
      </c>
      <c r="C6" s="38" t="s">
        <v>59</v>
      </c>
      <c r="D6" s="38" t="s">
        <v>106</v>
      </c>
      <c r="E6" s="39">
        <v>578</v>
      </c>
    </row>
    <row r="7" spans="1:8" s="33" customFormat="1" ht="15" customHeight="1">
      <c r="A7" s="102"/>
      <c r="B7" s="95"/>
      <c r="C7" s="44" t="s">
        <v>60</v>
      </c>
      <c r="D7" s="1" t="s">
        <v>107</v>
      </c>
      <c r="E7" s="44">
        <v>2</v>
      </c>
    </row>
    <row r="8" spans="1:8" s="33" customFormat="1" ht="15" customHeight="1">
      <c r="A8" s="102"/>
      <c r="B8" s="95"/>
      <c r="C8" s="44" t="s">
        <v>61</v>
      </c>
      <c r="D8" s="1" t="s">
        <v>108</v>
      </c>
      <c r="E8" s="45">
        <v>0.19984341778770079</v>
      </c>
    </row>
    <row r="9" spans="1:8" s="33" customFormat="1" ht="15" customHeight="1">
      <c r="A9" s="102"/>
      <c r="B9" s="95" t="s">
        <v>8</v>
      </c>
      <c r="C9" s="44" t="s">
        <v>62</v>
      </c>
      <c r="D9" s="1" t="s">
        <v>106</v>
      </c>
      <c r="E9" s="44">
        <v>624</v>
      </c>
      <c r="F9" s="34"/>
      <c r="G9" s="34"/>
      <c r="H9" s="34"/>
    </row>
    <row r="10" spans="1:8" s="33" customFormat="1" ht="15" customHeight="1">
      <c r="A10" s="102"/>
      <c r="B10" s="95"/>
      <c r="C10" s="44" t="s">
        <v>63</v>
      </c>
      <c r="D10" s="1" t="s">
        <v>107</v>
      </c>
      <c r="E10" s="44">
        <v>3</v>
      </c>
      <c r="F10" s="34"/>
      <c r="G10" s="34"/>
      <c r="H10" s="34"/>
    </row>
    <row r="11" spans="1:8" s="33" customFormat="1" ht="15" customHeight="1">
      <c r="A11" s="102"/>
      <c r="B11" s="95"/>
      <c r="C11" s="44" t="s">
        <v>61</v>
      </c>
      <c r="D11" s="1" t="s">
        <v>108</v>
      </c>
      <c r="E11" s="45">
        <v>0.17042460239638119</v>
      </c>
      <c r="F11" s="34"/>
      <c r="G11" s="34"/>
      <c r="H11" s="34"/>
    </row>
    <row r="12" spans="1:8" s="33" customFormat="1" ht="15" customHeight="1">
      <c r="A12" s="102"/>
      <c r="B12" s="95" t="s">
        <v>9</v>
      </c>
      <c r="C12" s="44" t="s">
        <v>59</v>
      </c>
      <c r="D12" s="1" t="s">
        <v>106</v>
      </c>
      <c r="E12" s="44">
        <v>1108</v>
      </c>
    </row>
    <row r="13" spans="1:8" s="33" customFormat="1" ht="15" customHeight="1">
      <c r="A13" s="102"/>
      <c r="B13" s="95"/>
      <c r="C13" s="44" t="s">
        <v>64</v>
      </c>
      <c r="D13" s="1" t="s">
        <v>107</v>
      </c>
      <c r="E13" s="44">
        <v>6</v>
      </c>
    </row>
    <row r="14" spans="1:8" s="33" customFormat="1" ht="15" customHeight="1">
      <c r="A14" s="102"/>
      <c r="B14" s="95"/>
      <c r="C14" s="44" t="s">
        <v>61</v>
      </c>
      <c r="D14" s="1" t="s">
        <v>108</v>
      </c>
      <c r="E14" s="45">
        <v>3.5180262943536808E-2</v>
      </c>
    </row>
    <row r="15" spans="1:8" s="33" customFormat="1" ht="15" customHeight="1">
      <c r="A15" s="102"/>
      <c r="B15" s="95" t="s">
        <v>6</v>
      </c>
      <c r="C15" s="44" t="s">
        <v>59</v>
      </c>
      <c r="D15" s="1" t="s">
        <v>106</v>
      </c>
      <c r="E15" s="44">
        <v>832</v>
      </c>
    </row>
    <row r="16" spans="1:8" s="33" customFormat="1" ht="15" customHeight="1">
      <c r="A16" s="102"/>
      <c r="B16" s="95"/>
      <c r="C16" s="44" t="s">
        <v>60</v>
      </c>
      <c r="D16" s="1" t="s">
        <v>107</v>
      </c>
      <c r="E16" s="44">
        <v>2</v>
      </c>
    </row>
    <row r="17" spans="1:5" s="33" customFormat="1" ht="15" customHeight="1">
      <c r="A17" s="102"/>
      <c r="B17" s="95"/>
      <c r="C17" s="44" t="s">
        <v>61</v>
      </c>
      <c r="D17" s="1" t="s">
        <v>108</v>
      </c>
      <c r="E17" s="45">
        <v>0.199814210816879</v>
      </c>
    </row>
    <row r="18" spans="1:5" s="33" customFormat="1" ht="15" customHeight="1">
      <c r="A18" s="102"/>
      <c r="B18" s="95" t="s">
        <v>10</v>
      </c>
      <c r="C18" s="44" t="s">
        <v>59</v>
      </c>
      <c r="D18" s="1" t="s">
        <v>106</v>
      </c>
      <c r="E18" s="44">
        <v>1128</v>
      </c>
    </row>
    <row r="19" spans="1:5" s="33" customFormat="1" ht="15" customHeight="1">
      <c r="A19" s="43"/>
      <c r="B19" s="95"/>
      <c r="C19" s="44" t="s">
        <v>60</v>
      </c>
      <c r="D19" s="1" t="s">
        <v>107</v>
      </c>
      <c r="E19" s="44">
        <v>4</v>
      </c>
    </row>
    <row r="20" spans="1:5" s="33" customFormat="1" ht="15" customHeight="1">
      <c r="A20" s="46"/>
      <c r="B20" s="98"/>
      <c r="C20" s="47" t="s">
        <v>61</v>
      </c>
      <c r="D20" s="36" t="s">
        <v>108</v>
      </c>
      <c r="E20" s="48">
        <v>0.16566510508290239</v>
      </c>
    </row>
    <row r="21" spans="1:5" s="33" customFormat="1" ht="15" customHeight="1">
      <c r="A21" s="99" t="s">
        <v>78</v>
      </c>
      <c r="B21" s="99" t="s">
        <v>24</v>
      </c>
      <c r="C21" s="39" t="s">
        <v>60</v>
      </c>
      <c r="D21" s="38" t="s">
        <v>104</v>
      </c>
      <c r="E21" s="39">
        <v>15</v>
      </c>
    </row>
    <row r="22" spans="1:5" s="33" customFormat="1" ht="15" customHeight="1">
      <c r="A22" s="95"/>
      <c r="B22" s="95"/>
      <c r="C22" s="44" t="s">
        <v>74</v>
      </c>
      <c r="D22" s="1" t="s">
        <v>104</v>
      </c>
      <c r="E22" s="44">
        <v>3</v>
      </c>
    </row>
    <row r="23" spans="1:5" s="33" customFormat="1" ht="15" customHeight="1">
      <c r="A23" s="95"/>
      <c r="B23" s="95"/>
      <c r="C23" s="44" t="s">
        <v>75</v>
      </c>
      <c r="D23" s="1" t="s">
        <v>105</v>
      </c>
      <c r="E23" s="44">
        <v>7</v>
      </c>
    </row>
    <row r="24" spans="1:5" s="33" customFormat="1" ht="15" customHeight="1">
      <c r="A24" s="95"/>
      <c r="B24" s="95" t="s">
        <v>25</v>
      </c>
      <c r="C24" s="44" t="s">
        <v>59</v>
      </c>
      <c r="D24" s="1" t="s">
        <v>106</v>
      </c>
      <c r="E24" s="44">
        <v>1040</v>
      </c>
    </row>
    <row r="25" spans="1:5" s="33" customFormat="1" ht="15" customHeight="1">
      <c r="A25" s="95"/>
      <c r="B25" s="95"/>
      <c r="C25" s="44" t="s">
        <v>60</v>
      </c>
      <c r="D25" s="1" t="s">
        <v>104</v>
      </c>
      <c r="E25" s="44">
        <v>15</v>
      </c>
    </row>
    <row r="26" spans="1:5" s="33" customFormat="1" ht="15" customHeight="1">
      <c r="A26" s="95"/>
      <c r="B26" s="95"/>
      <c r="C26" s="44" t="s">
        <v>75</v>
      </c>
      <c r="D26" s="1" t="s">
        <v>105</v>
      </c>
      <c r="E26" s="44">
        <v>1</v>
      </c>
    </row>
    <row r="27" spans="1:5" s="33" customFormat="1" ht="15" customHeight="1">
      <c r="A27" s="95"/>
      <c r="B27" s="95" t="s">
        <v>26</v>
      </c>
      <c r="C27" s="44" t="s">
        <v>59</v>
      </c>
      <c r="D27" s="1" t="s">
        <v>106</v>
      </c>
      <c r="E27" s="44">
        <v>206</v>
      </c>
    </row>
    <row r="28" spans="1:5" s="33" customFormat="1" ht="15" customHeight="1">
      <c r="A28" s="95"/>
      <c r="B28" s="95"/>
      <c r="C28" s="44" t="s">
        <v>60</v>
      </c>
      <c r="D28" s="1" t="s">
        <v>104</v>
      </c>
      <c r="E28" s="44">
        <v>20</v>
      </c>
    </row>
    <row r="29" spans="1:5" s="33" customFormat="1" ht="15" customHeight="1">
      <c r="A29" s="98"/>
      <c r="B29" s="98"/>
      <c r="C29" s="47" t="s">
        <v>75</v>
      </c>
      <c r="D29" s="1" t="s">
        <v>105</v>
      </c>
      <c r="E29" s="47">
        <v>1</v>
      </c>
    </row>
    <row r="30" spans="1:5" s="33" customFormat="1" ht="15" customHeight="1">
      <c r="A30" s="99" t="s">
        <v>79</v>
      </c>
      <c r="B30" s="99" t="s">
        <v>31</v>
      </c>
      <c r="C30" s="39" t="s">
        <v>65</v>
      </c>
      <c r="D30" s="38" t="s">
        <v>109</v>
      </c>
      <c r="E30" s="39">
        <v>3</v>
      </c>
    </row>
    <row r="31" spans="1:5" s="33" customFormat="1" ht="15" customHeight="1">
      <c r="A31" s="95"/>
      <c r="B31" s="95"/>
      <c r="C31" s="44" t="s">
        <v>66</v>
      </c>
      <c r="D31" s="1" t="s">
        <v>69</v>
      </c>
      <c r="E31" s="44" t="s">
        <v>68</v>
      </c>
    </row>
    <row r="32" spans="1:5" s="33" customFormat="1" ht="15" customHeight="1">
      <c r="A32" s="95"/>
      <c r="B32" s="95"/>
      <c r="C32" s="44" t="s">
        <v>67</v>
      </c>
      <c r="D32" s="1" t="s">
        <v>110</v>
      </c>
      <c r="E32" s="44">
        <v>1</v>
      </c>
    </row>
    <row r="33" spans="1:5" ht="15" customHeight="1">
      <c r="A33" s="101" t="s">
        <v>80</v>
      </c>
      <c r="B33" s="99" t="s">
        <v>44</v>
      </c>
      <c r="C33" s="38" t="s">
        <v>82</v>
      </c>
      <c r="D33" s="38" t="s">
        <v>95</v>
      </c>
      <c r="E33" s="38">
        <v>2</v>
      </c>
    </row>
    <row r="34" spans="1:5" ht="15" customHeight="1">
      <c r="A34" s="102"/>
      <c r="B34" s="95"/>
      <c r="C34" s="1" t="s">
        <v>81</v>
      </c>
      <c r="D34" s="1" t="s">
        <v>93</v>
      </c>
      <c r="E34" s="1">
        <v>121</v>
      </c>
    </row>
    <row r="35" spans="1:5" ht="15" customHeight="1">
      <c r="A35" s="102"/>
      <c r="B35" s="95"/>
      <c r="C35" s="44" t="s">
        <v>61</v>
      </c>
      <c r="D35" s="1" t="s">
        <v>94</v>
      </c>
      <c r="E35" s="1">
        <v>3.2295688447011228E-4</v>
      </c>
    </row>
    <row r="36" spans="1:5" ht="15" customHeight="1">
      <c r="A36" s="102"/>
      <c r="B36" s="95" t="s">
        <v>86</v>
      </c>
      <c r="C36" s="1" t="s">
        <v>82</v>
      </c>
      <c r="D36" s="1" t="s">
        <v>95</v>
      </c>
      <c r="E36" s="1">
        <v>4</v>
      </c>
    </row>
    <row r="37" spans="1:5" ht="15" customHeight="1">
      <c r="A37" s="102"/>
      <c r="B37" s="95"/>
      <c r="C37" s="1" t="s">
        <v>81</v>
      </c>
      <c r="D37" s="1" t="s">
        <v>93</v>
      </c>
      <c r="E37" s="1">
        <v>128</v>
      </c>
    </row>
    <row r="38" spans="1:5" ht="15" customHeight="1">
      <c r="A38" s="102"/>
      <c r="B38" s="95"/>
      <c r="C38" s="44" t="s">
        <v>61</v>
      </c>
      <c r="D38" s="1" t="s">
        <v>94</v>
      </c>
      <c r="E38" s="1">
        <v>5.0000000000000002E-5</v>
      </c>
    </row>
    <row r="39" spans="1:5" ht="15" customHeight="1">
      <c r="A39" s="103"/>
      <c r="B39" s="98"/>
      <c r="C39" s="36" t="s">
        <v>112</v>
      </c>
      <c r="D39" s="36" t="s">
        <v>114</v>
      </c>
      <c r="E39" s="49">
        <v>1.0141135143708171E-3</v>
      </c>
    </row>
  </sheetData>
  <mergeCells count="17">
    <mergeCell ref="B33:B35"/>
    <mergeCell ref="A21:A29"/>
    <mergeCell ref="A6:A18"/>
    <mergeCell ref="B36:B39"/>
    <mergeCell ref="A33:A39"/>
    <mergeCell ref="B15:B17"/>
    <mergeCell ref="B18:B20"/>
    <mergeCell ref="B21:B23"/>
    <mergeCell ref="B24:B26"/>
    <mergeCell ref="B27:B29"/>
    <mergeCell ref="B30:B32"/>
    <mergeCell ref="A30:A32"/>
    <mergeCell ref="A2:A5"/>
    <mergeCell ref="B4:B5"/>
    <mergeCell ref="B6:B8"/>
    <mergeCell ref="B9:B11"/>
    <mergeCell ref="B12:B1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BC0D-510F-4CA1-8498-D3D9118819C0}">
  <dimension ref="A1:R23"/>
  <sheetViews>
    <sheetView workbookViewId="0">
      <selection activeCell="M25" sqref="M25"/>
    </sheetView>
  </sheetViews>
  <sheetFormatPr defaultRowHeight="15"/>
  <cols>
    <col min="1" max="1" width="12.875" style="1" customWidth="1"/>
    <col min="2" max="2" width="14.5" style="1" customWidth="1"/>
    <col min="3" max="3" width="6.625" style="1" customWidth="1"/>
    <col min="4" max="4" width="4.625" style="1" customWidth="1"/>
    <col min="5" max="5" width="7" style="1" customWidth="1"/>
    <col min="6" max="6" width="5.875" style="1" customWidth="1"/>
    <col min="7" max="7" width="5.5" style="1" customWidth="1"/>
    <col min="8" max="8" width="8" style="1" customWidth="1"/>
    <col min="9" max="9" width="7.5" style="1" customWidth="1"/>
    <col min="10" max="10" width="5.75" style="1" customWidth="1"/>
    <col min="11" max="11" width="7.5" style="1" customWidth="1"/>
    <col min="12" max="12" width="6.125" style="1" customWidth="1"/>
    <col min="13" max="16384" width="9" style="1"/>
  </cols>
  <sheetData>
    <row r="1" spans="1:18">
      <c r="A1" s="1" t="s">
        <v>115</v>
      </c>
      <c r="B1" s="1" t="s">
        <v>131</v>
      </c>
      <c r="C1" s="1" t="s">
        <v>33</v>
      </c>
      <c r="D1" s="1" t="s">
        <v>35</v>
      </c>
      <c r="E1" s="1" t="s">
        <v>88</v>
      </c>
      <c r="F1" s="1" t="s">
        <v>89</v>
      </c>
      <c r="G1" s="1" t="s">
        <v>37</v>
      </c>
      <c r="H1" s="1" t="s">
        <v>87</v>
      </c>
      <c r="I1" s="1" t="s">
        <v>44</v>
      </c>
      <c r="K1" s="1" t="s">
        <v>86</v>
      </c>
      <c r="M1" s="1" t="s">
        <v>55</v>
      </c>
      <c r="O1" s="1" t="s">
        <v>54</v>
      </c>
      <c r="Q1" s="1" t="s">
        <v>56</v>
      </c>
    </row>
    <row r="2" spans="1:18">
      <c r="A2" s="1" t="s">
        <v>116</v>
      </c>
      <c r="B2" s="1" t="s">
        <v>118</v>
      </c>
      <c r="C2" s="57">
        <v>88.8</v>
      </c>
      <c r="D2" s="57">
        <v>3</v>
      </c>
      <c r="E2" s="57">
        <v>980</v>
      </c>
      <c r="F2" s="57">
        <v>35.5</v>
      </c>
      <c r="G2" s="57">
        <v>3.006756756756757</v>
      </c>
      <c r="H2" s="57">
        <v>1400</v>
      </c>
      <c r="I2" s="57">
        <v>3128.2400878906251</v>
      </c>
      <c r="J2" s="57">
        <f>I2/H2</f>
        <v>2.2344572056361609</v>
      </c>
      <c r="K2" s="57">
        <v>1536.628466796875</v>
      </c>
      <c r="L2" s="57">
        <f>K2/H2</f>
        <v>1.097591761997768</v>
      </c>
      <c r="M2" s="57">
        <v>1335.7685882389487</v>
      </c>
      <c r="N2" s="57">
        <f>M2/H2</f>
        <v>0.95412042017067766</v>
      </c>
      <c r="O2" s="64">
        <v>1395.7110328124759</v>
      </c>
      <c r="P2" s="64">
        <f>O2/H2</f>
        <v>0.99693645200891134</v>
      </c>
      <c r="Q2" s="57"/>
      <c r="R2" s="57">
        <f>Q2/I2</f>
        <v>0</v>
      </c>
    </row>
    <row r="3" spans="1:18">
      <c r="B3" s="1" t="s">
        <v>119</v>
      </c>
      <c r="C3" s="57">
        <v>88.9</v>
      </c>
      <c r="D3" s="57">
        <v>2.98</v>
      </c>
      <c r="E3" s="57">
        <v>980</v>
      </c>
      <c r="F3" s="57">
        <v>85.7</v>
      </c>
      <c r="G3" s="57">
        <v>3.0033745781777275</v>
      </c>
      <c r="H3" s="57">
        <v>1554</v>
      </c>
      <c r="I3" s="57">
        <v>3831.6495117187501</v>
      </c>
      <c r="J3" s="57">
        <f t="shared" ref="J3:J22" si="0">I3/H3</f>
        <v>2.4656689264599421</v>
      </c>
      <c r="K3" s="57">
        <v>2072.3766357421873</v>
      </c>
      <c r="L3" s="57">
        <f t="shared" ref="L3:L22" si="1">K3/H3</f>
        <v>1.3335756986757963</v>
      </c>
      <c r="M3" s="57">
        <v>1547.0693863922497</v>
      </c>
      <c r="N3" s="57">
        <f t="shared" ref="N3:N22" si="2">M3/H3</f>
        <v>0.99554014568355842</v>
      </c>
      <c r="O3" s="64">
        <v>1661.2210284435928</v>
      </c>
      <c r="P3" s="64">
        <f t="shared" ref="P3:P22" si="3">O3/H3</f>
        <v>1.0689968008002528</v>
      </c>
      <c r="Q3" s="57">
        <v>1560.4787116804705</v>
      </c>
      <c r="R3" s="57">
        <f t="shared" ref="R3:R22" si="4">Q3/I3</f>
        <v>0.40726029531351676</v>
      </c>
    </row>
    <row r="4" spans="1:18">
      <c r="B4" s="1" t="s">
        <v>120</v>
      </c>
      <c r="C4" s="57">
        <v>88.9</v>
      </c>
      <c r="D4" s="57">
        <v>3</v>
      </c>
      <c r="E4" s="57">
        <v>980</v>
      </c>
      <c r="F4" s="57">
        <v>114.9</v>
      </c>
      <c r="G4" s="57">
        <v>2.9977502812148478</v>
      </c>
      <c r="H4" s="57">
        <v>1880</v>
      </c>
      <c r="I4" s="57">
        <v>3824.2506347656249</v>
      </c>
      <c r="J4" s="57">
        <f t="shared" si="0"/>
        <v>2.0341758695561833</v>
      </c>
      <c r="K4" s="57">
        <v>2259.8930175781252</v>
      </c>
      <c r="L4" s="57">
        <f t="shared" si="1"/>
        <v>1.2020707540309177</v>
      </c>
      <c r="M4" s="57">
        <v>1680.3781825591282</v>
      </c>
      <c r="N4" s="57">
        <f t="shared" si="2"/>
        <v>0.89381818221230225</v>
      </c>
      <c r="O4" s="64">
        <v>1794.4087885482904</v>
      </c>
      <c r="P4" s="64">
        <f t="shared" si="3"/>
        <v>0.95447275986611191</v>
      </c>
      <c r="Q4" s="57">
        <v>1780.7517869927724</v>
      </c>
      <c r="R4" s="57">
        <f t="shared" si="4"/>
        <v>0.46564724885033809</v>
      </c>
    </row>
    <row r="5" spans="1:18">
      <c r="B5" s="1" t="s">
        <v>121</v>
      </c>
      <c r="C5" s="57">
        <v>88.9</v>
      </c>
      <c r="D5" s="57">
        <v>3.91</v>
      </c>
      <c r="E5" s="57">
        <v>1084</v>
      </c>
      <c r="F5" s="57">
        <v>35.5</v>
      </c>
      <c r="G5" s="57">
        <v>2.9977502812148478</v>
      </c>
      <c r="H5" s="57">
        <v>1914</v>
      </c>
      <c r="I5" s="57">
        <v>3389.0859375</v>
      </c>
      <c r="J5" s="57">
        <f t="shared" si="0"/>
        <v>1.7706823079937304</v>
      </c>
      <c r="K5" s="57">
        <v>2072.3284667968751</v>
      </c>
      <c r="L5" s="57">
        <f t="shared" si="1"/>
        <v>1.0827212470203109</v>
      </c>
      <c r="M5" s="57">
        <v>1832.9403111837703</v>
      </c>
      <c r="N5" s="57">
        <f t="shared" si="2"/>
        <v>0.95764906540426875</v>
      </c>
      <c r="O5" s="64">
        <v>1903.4469295815834</v>
      </c>
      <c r="P5" s="64">
        <f t="shared" si="3"/>
        <v>0.99448637909173632</v>
      </c>
      <c r="Q5" s="57"/>
      <c r="R5" s="57">
        <f t="shared" si="4"/>
        <v>0</v>
      </c>
    </row>
    <row r="6" spans="1:18">
      <c r="B6" s="1" t="s">
        <v>122</v>
      </c>
      <c r="C6" s="57">
        <v>89</v>
      </c>
      <c r="D6" s="57">
        <v>3.91</v>
      </c>
      <c r="E6" s="57">
        <v>1084</v>
      </c>
      <c r="F6" s="57">
        <v>85.7</v>
      </c>
      <c r="G6" s="57">
        <v>3</v>
      </c>
      <c r="H6" s="57">
        <v>2083</v>
      </c>
      <c r="I6" s="57">
        <v>4007.0460449218749</v>
      </c>
      <c r="J6" s="57">
        <f t="shared" si="0"/>
        <v>1.9236898919452112</v>
      </c>
      <c r="K6" s="57">
        <v>2531.7654296874998</v>
      </c>
      <c r="L6" s="57">
        <f t="shared" si="1"/>
        <v>1.2154418769503119</v>
      </c>
      <c r="M6" s="57">
        <v>2043.1656878863953</v>
      </c>
      <c r="N6" s="57">
        <f t="shared" si="2"/>
        <v>0.98087647042073711</v>
      </c>
      <c r="O6" s="64">
        <v>2165.7547210580642</v>
      </c>
      <c r="P6" s="64">
        <f t="shared" si="3"/>
        <v>1.0397286226875009</v>
      </c>
      <c r="Q6" s="57">
        <v>1957.9882468816456</v>
      </c>
      <c r="R6" s="57">
        <f t="shared" si="4"/>
        <v>0.48863632334921681</v>
      </c>
    </row>
    <row r="7" spans="1:18">
      <c r="B7" s="1" t="s">
        <v>123</v>
      </c>
      <c r="C7" s="57">
        <v>88.9</v>
      </c>
      <c r="D7" s="57">
        <v>3.89</v>
      </c>
      <c r="E7" s="57">
        <v>1084</v>
      </c>
      <c r="F7" s="57">
        <v>114.9</v>
      </c>
      <c r="G7" s="57">
        <v>3.0033745781777275</v>
      </c>
      <c r="H7" s="57">
        <v>2324</v>
      </c>
      <c r="I7" s="57">
        <v>4057.857177734375</v>
      </c>
      <c r="J7" s="57">
        <f t="shared" si="0"/>
        <v>1.7460659112454282</v>
      </c>
      <c r="K7" s="57">
        <v>2630.6875</v>
      </c>
      <c r="L7" s="57">
        <f t="shared" si="1"/>
        <v>1.1319653614457832</v>
      </c>
      <c r="M7" s="57">
        <v>2153.2072893801324</v>
      </c>
      <c r="N7" s="57">
        <f t="shared" si="2"/>
        <v>0.9265091606627075</v>
      </c>
      <c r="O7" s="64">
        <v>2260.546718528663</v>
      </c>
      <c r="P7" s="64">
        <f t="shared" si="3"/>
        <v>0.9726965226026949</v>
      </c>
      <c r="Q7" s="57">
        <v>2168.2932023851963</v>
      </c>
      <c r="R7" s="57">
        <f t="shared" si="4"/>
        <v>0.53434438606728396</v>
      </c>
    </row>
    <row r="8" spans="1:18">
      <c r="B8" s="1" t="s">
        <v>124</v>
      </c>
      <c r="C8" s="57">
        <v>108.3</v>
      </c>
      <c r="D8" s="57">
        <v>3.9</v>
      </c>
      <c r="E8" s="57">
        <v>1233</v>
      </c>
      <c r="F8" s="57">
        <v>35.5</v>
      </c>
      <c r="G8" s="57">
        <v>2.9824561403508771</v>
      </c>
      <c r="H8" s="57">
        <v>2433</v>
      </c>
      <c r="I8" s="57">
        <v>4406.4774902343752</v>
      </c>
      <c r="J8" s="57">
        <f t="shared" si="0"/>
        <v>1.8111292602689582</v>
      </c>
      <c r="K8" s="57">
        <v>3399.8234375000002</v>
      </c>
      <c r="L8" s="57">
        <f t="shared" si="1"/>
        <v>1.3973791358405261</v>
      </c>
      <c r="M8" s="57">
        <v>2578.5277819016492</v>
      </c>
      <c r="N8" s="57">
        <f t="shared" si="2"/>
        <v>1.0598141314844427</v>
      </c>
      <c r="O8" s="64">
        <v>2678.9073835351801</v>
      </c>
      <c r="P8" s="64">
        <f t="shared" si="3"/>
        <v>1.1010716742849076</v>
      </c>
      <c r="Q8" s="57"/>
      <c r="R8" s="57">
        <f t="shared" si="4"/>
        <v>0</v>
      </c>
    </row>
    <row r="9" spans="1:18">
      <c r="B9" s="1" t="s">
        <v>125</v>
      </c>
      <c r="C9" s="57">
        <v>108.2</v>
      </c>
      <c r="D9" s="57">
        <v>3.94</v>
      </c>
      <c r="E9" s="57">
        <v>1233</v>
      </c>
      <c r="F9" s="57">
        <v>85.7</v>
      </c>
      <c r="G9" s="57">
        <v>2.9898336414048057</v>
      </c>
      <c r="H9" s="57">
        <v>2783</v>
      </c>
      <c r="I9" s="57">
        <v>5126.1474609375</v>
      </c>
      <c r="J9" s="57">
        <f t="shared" si="0"/>
        <v>1.8419502195247934</v>
      </c>
      <c r="K9" s="57">
        <v>3938.9917480468748</v>
      </c>
      <c r="L9" s="57">
        <f t="shared" si="1"/>
        <v>1.415376122187163</v>
      </c>
      <c r="M9" s="57">
        <v>2915.9514265855569</v>
      </c>
      <c r="N9" s="57">
        <f t="shared" si="2"/>
        <v>1.0477727008931215</v>
      </c>
      <c r="O9" s="64">
        <v>3096.0366856308588</v>
      </c>
      <c r="P9" s="64">
        <f t="shared" si="3"/>
        <v>1.1124817411537402</v>
      </c>
      <c r="Q9" s="57">
        <v>2789.1776967983515</v>
      </c>
      <c r="R9" s="57">
        <f t="shared" si="4"/>
        <v>0.5441079715424828</v>
      </c>
    </row>
    <row r="10" spans="1:18">
      <c r="B10" s="1" t="s">
        <v>126</v>
      </c>
      <c r="C10" s="57">
        <v>108.6</v>
      </c>
      <c r="D10" s="57">
        <v>3.98</v>
      </c>
      <c r="E10" s="57">
        <v>1233</v>
      </c>
      <c r="F10" s="57">
        <v>114.9</v>
      </c>
      <c r="G10" s="57">
        <v>3.0294659300184166</v>
      </c>
      <c r="H10" s="57">
        <v>2729</v>
      </c>
      <c r="I10" s="57">
        <v>5186.7830078124998</v>
      </c>
      <c r="J10" s="57">
        <f t="shared" si="0"/>
        <v>1.9006167122801392</v>
      </c>
      <c r="K10" s="57">
        <v>3967.126708984375</v>
      </c>
      <c r="L10" s="57">
        <f t="shared" si="1"/>
        <v>1.4536924547396024</v>
      </c>
      <c r="M10" s="57">
        <v>3137.5296350983267</v>
      </c>
      <c r="N10" s="57">
        <f t="shared" si="2"/>
        <v>1.1496993899224355</v>
      </c>
      <c r="O10" s="64">
        <v>3301.1205726022722</v>
      </c>
      <c r="P10" s="64">
        <f t="shared" si="3"/>
        <v>1.209644768267597</v>
      </c>
      <c r="Q10" s="57">
        <v>3158.9206428131324</v>
      </c>
      <c r="R10" s="57">
        <f t="shared" si="4"/>
        <v>0.60903273533037039</v>
      </c>
    </row>
    <row r="11" spans="1:18">
      <c r="B11" s="1" t="s">
        <v>127</v>
      </c>
      <c r="C11" s="57">
        <v>133.4</v>
      </c>
      <c r="D11" s="57">
        <v>3.95</v>
      </c>
      <c r="E11" s="57">
        <v>1164</v>
      </c>
      <c r="F11" s="57">
        <v>35.5</v>
      </c>
      <c r="G11" s="57">
        <v>2.9872563718140928</v>
      </c>
      <c r="H11" s="57">
        <v>3110</v>
      </c>
      <c r="I11" s="57">
        <v>4768.4674804687502</v>
      </c>
      <c r="J11" s="57">
        <f t="shared" si="0"/>
        <v>1.5332692863243569</v>
      </c>
      <c r="K11" s="57">
        <v>3611.1702636718751</v>
      </c>
      <c r="L11" s="57">
        <f t="shared" si="1"/>
        <v>1.1611479947497991</v>
      </c>
      <c r="M11" s="57">
        <v>3144.0733372340624</v>
      </c>
      <c r="N11" s="57">
        <f t="shared" si="2"/>
        <v>1.0109560569884446</v>
      </c>
      <c r="O11" s="64">
        <v>3281.2835330754738</v>
      </c>
      <c r="P11" s="64">
        <f t="shared" si="3"/>
        <v>1.0550750910210527</v>
      </c>
      <c r="Q11" s="57"/>
      <c r="R11" s="57">
        <f t="shared" si="4"/>
        <v>0</v>
      </c>
    </row>
    <row r="12" spans="1:18">
      <c r="B12" s="1" t="s">
        <v>128</v>
      </c>
      <c r="C12" s="57">
        <v>133.30000000000001</v>
      </c>
      <c r="D12" s="57">
        <v>3.93</v>
      </c>
      <c r="E12" s="57">
        <v>1164</v>
      </c>
      <c r="F12" s="57">
        <v>85.7</v>
      </c>
      <c r="G12" s="57">
        <v>2.9894973743435855</v>
      </c>
      <c r="H12" s="57">
        <v>3764</v>
      </c>
      <c r="I12" s="57">
        <v>5694.0565429687504</v>
      </c>
      <c r="J12" s="57">
        <f t="shared" si="0"/>
        <v>1.5127674131160336</v>
      </c>
      <c r="K12" s="57">
        <v>4401.4925292968746</v>
      </c>
      <c r="L12" s="57">
        <f t="shared" si="1"/>
        <v>1.1693657091649508</v>
      </c>
      <c r="M12" s="57">
        <v>3624.2484014245847</v>
      </c>
      <c r="N12" s="57">
        <f t="shared" si="2"/>
        <v>0.96287152003841248</v>
      </c>
      <c r="O12" s="64">
        <v>3885.1168883078676</v>
      </c>
      <c r="P12" s="64">
        <f t="shared" si="3"/>
        <v>1.0321777067767979</v>
      </c>
      <c r="Q12" s="57">
        <v>3554.4599455700964</v>
      </c>
      <c r="R12" s="57">
        <f t="shared" si="4"/>
        <v>0.62424036690666274</v>
      </c>
    </row>
    <row r="13" spans="1:18">
      <c r="B13" s="1" t="s">
        <v>129</v>
      </c>
      <c r="C13" s="57">
        <v>133.19999999999999</v>
      </c>
      <c r="D13" s="57">
        <v>3.94</v>
      </c>
      <c r="E13" s="57">
        <v>1164</v>
      </c>
      <c r="F13" s="57">
        <v>114.9</v>
      </c>
      <c r="G13" s="57">
        <v>2.9879879879879883</v>
      </c>
      <c r="H13" s="57">
        <v>4111</v>
      </c>
      <c r="I13" s="57">
        <v>5784.6315429687502</v>
      </c>
      <c r="J13" s="57">
        <f t="shared" si="0"/>
        <v>1.4071105674942228</v>
      </c>
      <c r="K13" s="57">
        <v>4565.96826171875</v>
      </c>
      <c r="L13" s="57">
        <f t="shared" si="1"/>
        <v>1.1106709466598759</v>
      </c>
      <c r="M13" s="57">
        <v>3915.4245502787303</v>
      </c>
      <c r="N13" s="57">
        <f t="shared" si="2"/>
        <v>0.95242630753557045</v>
      </c>
      <c r="O13" s="64">
        <v>4173.5539663412765</v>
      </c>
      <c r="P13" s="64">
        <f t="shared" si="3"/>
        <v>1.0152162409003349</v>
      </c>
      <c r="Q13" s="57">
        <v>4042.9168211121996</v>
      </c>
      <c r="R13" s="57">
        <f t="shared" si="4"/>
        <v>0.69890654073315805</v>
      </c>
    </row>
    <row r="14" spans="1:18">
      <c r="B14" s="1" t="s">
        <v>130</v>
      </c>
      <c r="C14" s="57">
        <v>133.1</v>
      </c>
      <c r="D14" s="57">
        <v>3.94</v>
      </c>
      <c r="E14" s="57">
        <v>1164</v>
      </c>
      <c r="F14" s="57">
        <v>114.9</v>
      </c>
      <c r="G14" s="57">
        <v>2.9977460555972955</v>
      </c>
      <c r="H14" s="57">
        <v>4203</v>
      </c>
      <c r="I14" s="57">
        <v>5775.5729492187502</v>
      </c>
      <c r="J14" s="57">
        <f t="shared" si="0"/>
        <v>1.3741548772825958</v>
      </c>
      <c r="K14" s="57">
        <v>4557.9250000000002</v>
      </c>
      <c r="L14" s="57">
        <f t="shared" si="1"/>
        <v>1.0844456340709019</v>
      </c>
      <c r="M14" s="57">
        <v>3911.4541749982582</v>
      </c>
      <c r="N14" s="57">
        <f t="shared" si="2"/>
        <v>0.93063387461295699</v>
      </c>
      <c r="O14" s="64">
        <v>4169.1606757439695</v>
      </c>
      <c r="P14" s="64">
        <f t="shared" si="3"/>
        <v>0.99194876891362582</v>
      </c>
      <c r="Q14" s="57">
        <v>4038.6576446881527</v>
      </c>
      <c r="R14" s="57">
        <f t="shared" si="4"/>
        <v>0.69926528159157852</v>
      </c>
    </row>
    <row r="15" spans="1:18">
      <c r="A15" s="1" t="s">
        <v>133</v>
      </c>
      <c r="B15" s="62" t="s">
        <v>132</v>
      </c>
      <c r="C15" s="63">
        <v>219.1</v>
      </c>
      <c r="D15" s="63">
        <v>5</v>
      </c>
      <c r="E15" s="63">
        <v>380</v>
      </c>
      <c r="F15" s="63">
        <v>185.1</v>
      </c>
      <c r="G15" s="63">
        <v>2.7384755819260613</v>
      </c>
      <c r="H15" s="63">
        <v>7837</v>
      </c>
      <c r="I15" s="57">
        <v>7585.9482421875</v>
      </c>
      <c r="J15" s="57">
        <f t="shared" si="0"/>
        <v>0.96796583414412407</v>
      </c>
      <c r="K15" s="57">
        <v>7870.9094726562498</v>
      </c>
      <c r="L15" s="57">
        <f t="shared" si="1"/>
        <v>1.0043268435187254</v>
      </c>
      <c r="M15" s="57">
        <v>6995.7952607266625</v>
      </c>
      <c r="N15" s="57">
        <f t="shared" si="2"/>
        <v>0.89266240407383723</v>
      </c>
      <c r="O15" s="64">
        <v>8196.5743006912016</v>
      </c>
      <c r="P15" s="64">
        <f t="shared" si="3"/>
        <v>1.0458816257102466</v>
      </c>
      <c r="Q15" s="57"/>
      <c r="R15" s="57">
        <f t="shared" si="4"/>
        <v>0</v>
      </c>
    </row>
    <row r="16" spans="1:18">
      <c r="B16" s="1" t="s">
        <v>134</v>
      </c>
      <c r="C16" s="57">
        <v>219.1</v>
      </c>
      <c r="D16" s="57">
        <v>10</v>
      </c>
      <c r="E16" s="57">
        <v>381</v>
      </c>
      <c r="F16" s="57">
        <v>185.1</v>
      </c>
      <c r="G16" s="57">
        <v>2.7384755819260613</v>
      </c>
      <c r="H16" s="57">
        <v>9085</v>
      </c>
      <c r="I16" s="57">
        <v>8764.3402343750004</v>
      </c>
      <c r="J16" s="57">
        <f t="shared" si="0"/>
        <v>0.9647044836956522</v>
      </c>
      <c r="K16" s="57">
        <v>9030.3035156250007</v>
      </c>
      <c r="L16" s="57">
        <f t="shared" si="1"/>
        <v>0.99397947337644477</v>
      </c>
      <c r="M16" s="57">
        <v>8338.6611725271141</v>
      </c>
      <c r="N16" s="57">
        <f t="shared" si="2"/>
        <v>0.91784933104316058</v>
      </c>
      <c r="O16" s="64">
        <v>9366.92466104696</v>
      </c>
      <c r="P16" s="64">
        <f t="shared" si="3"/>
        <v>1.0310318834394012</v>
      </c>
      <c r="Q16" s="57"/>
      <c r="R16" s="57">
        <f t="shared" si="4"/>
        <v>0</v>
      </c>
    </row>
    <row r="17" spans="1:18">
      <c r="A17" s="1" t="s">
        <v>136</v>
      </c>
      <c r="B17" s="1" t="s">
        <v>135</v>
      </c>
      <c r="C17" s="57">
        <v>275.75</v>
      </c>
      <c r="D17" s="57">
        <v>5.1150000000000002</v>
      </c>
      <c r="E17" s="57">
        <v>275</v>
      </c>
      <c r="F17" s="57">
        <v>50.09</v>
      </c>
      <c r="G17" s="57">
        <v>2.4986400725294651</v>
      </c>
      <c r="H17" s="57">
        <v>4195</v>
      </c>
      <c r="I17" s="57">
        <v>3881.7593261718748</v>
      </c>
      <c r="J17" s="57">
        <f t="shared" si="0"/>
        <v>0.92532999431987484</v>
      </c>
      <c r="K17" s="57">
        <v>4598.3956054687496</v>
      </c>
      <c r="L17" s="57">
        <f t="shared" si="1"/>
        <v>1.0961610501713348</v>
      </c>
      <c r="M17" s="57">
        <v>4008.0984216159022</v>
      </c>
      <c r="N17" s="57">
        <f t="shared" si="2"/>
        <v>0.9554465844138027</v>
      </c>
      <c r="O17" s="64">
        <v>4710.981294673541</v>
      </c>
      <c r="P17" s="64">
        <f t="shared" si="3"/>
        <v>1.1229991167279001</v>
      </c>
      <c r="Q17" s="57">
        <v>3854.9979890030077</v>
      </c>
      <c r="R17" s="57">
        <f t="shared" si="4"/>
        <v>0.99310587418739871</v>
      </c>
    </row>
    <row r="18" spans="1:18">
      <c r="B18" s="1" t="s">
        <v>137</v>
      </c>
      <c r="C18" s="57">
        <v>550</v>
      </c>
      <c r="D18" s="57">
        <v>9.86</v>
      </c>
      <c r="E18" s="57">
        <v>265</v>
      </c>
      <c r="F18" s="57">
        <v>50.09</v>
      </c>
      <c r="G18" s="57">
        <v>2.5018181818181819</v>
      </c>
      <c r="H18" s="57">
        <v>15576</v>
      </c>
      <c r="I18" s="57">
        <v>16843.864648437499</v>
      </c>
      <c r="J18" s="57">
        <f t="shared" si="0"/>
        <v>1.0813986035206407</v>
      </c>
      <c r="K18" s="57">
        <v>17577.551562500001</v>
      </c>
      <c r="L18" s="57">
        <f t="shared" si="1"/>
        <v>1.1285022831599898</v>
      </c>
      <c r="M18" s="57">
        <v>15484.037446048391</v>
      </c>
      <c r="N18" s="57">
        <f t="shared" si="2"/>
        <v>0.9940958812306363</v>
      </c>
      <c r="O18" s="64">
        <v>18245.256234770834</v>
      </c>
      <c r="P18" s="64">
        <f t="shared" si="3"/>
        <v>1.1713698147644347</v>
      </c>
      <c r="Q18" s="57">
        <v>14746.825369614109</v>
      </c>
      <c r="R18" s="57">
        <f t="shared" si="4"/>
        <v>0.87550129839009849</v>
      </c>
    </row>
    <row r="19" spans="1:18">
      <c r="B19" s="1" t="s">
        <v>138</v>
      </c>
      <c r="C19" s="57">
        <v>879.5</v>
      </c>
      <c r="D19" s="57">
        <v>15.55</v>
      </c>
      <c r="E19" s="57">
        <v>260</v>
      </c>
      <c r="F19" s="57">
        <v>50.09</v>
      </c>
      <c r="G19" s="57">
        <v>2.4991472427515635</v>
      </c>
      <c r="H19" s="57">
        <v>39546</v>
      </c>
      <c r="I19" s="57">
        <v>37953.045312499999</v>
      </c>
      <c r="J19" s="57">
        <f t="shared" si="0"/>
        <v>0.9597189428134324</v>
      </c>
      <c r="K19" s="57">
        <v>40016.271093750001</v>
      </c>
      <c r="L19" s="57">
        <f t="shared" si="1"/>
        <v>1.0118917486913974</v>
      </c>
      <c r="M19" s="57">
        <v>39072.817883596072</v>
      </c>
      <c r="N19" s="57">
        <f t="shared" si="2"/>
        <v>0.98803464025681664</v>
      </c>
      <c r="O19" s="64">
        <v>46093.622917286426</v>
      </c>
      <c r="P19" s="64">
        <f t="shared" si="3"/>
        <v>1.1655697900492192</v>
      </c>
      <c r="Q19" s="57">
        <v>37300.195354477873</v>
      </c>
      <c r="R19" s="57">
        <f t="shared" si="4"/>
        <v>0.98279848289783733</v>
      </c>
    </row>
    <row r="20" spans="1:18">
      <c r="B20" s="1" t="s">
        <v>139</v>
      </c>
      <c r="C20" s="57">
        <v>275</v>
      </c>
      <c r="D20" s="57">
        <v>4.16</v>
      </c>
      <c r="E20" s="57">
        <v>281</v>
      </c>
      <c r="F20" s="57">
        <v>50.09</v>
      </c>
      <c r="G20" s="57">
        <v>2.5036363636363639</v>
      </c>
      <c r="H20" s="57">
        <v>3956</v>
      </c>
      <c r="I20" s="57">
        <v>3643.7826171874999</v>
      </c>
      <c r="J20" s="57">
        <f t="shared" si="0"/>
        <v>0.92107750687247214</v>
      </c>
      <c r="K20" s="57">
        <v>4229.39794921875</v>
      </c>
      <c r="L20" s="57">
        <f t="shared" si="1"/>
        <v>1.0691096939380056</v>
      </c>
      <c r="M20" s="57">
        <v>3727.0824937608436</v>
      </c>
      <c r="N20" s="57">
        <f t="shared" si="2"/>
        <v>0.94213409852397467</v>
      </c>
      <c r="O20" s="64">
        <v>4409.1365857284181</v>
      </c>
      <c r="P20" s="64">
        <f t="shared" si="3"/>
        <v>1.1145441318828155</v>
      </c>
      <c r="Q20" s="57">
        <v>3638.3368984569711</v>
      </c>
      <c r="R20" s="57">
        <f t="shared" si="4"/>
        <v>0.99850547650541999</v>
      </c>
    </row>
    <row r="21" spans="1:18">
      <c r="B21" s="1" t="s">
        <v>140</v>
      </c>
      <c r="C21" s="57">
        <v>551.29999999999995</v>
      </c>
      <c r="D21" s="57">
        <v>7.86</v>
      </c>
      <c r="E21" s="57">
        <v>263</v>
      </c>
      <c r="F21" s="57">
        <v>50.09</v>
      </c>
      <c r="G21" s="57">
        <v>2.4959187375294758</v>
      </c>
      <c r="H21" s="57">
        <v>14037</v>
      </c>
      <c r="I21" s="57">
        <v>16135.488671875</v>
      </c>
      <c r="J21" s="57">
        <f t="shared" si="0"/>
        <v>1.1494969489118045</v>
      </c>
      <c r="K21" s="57">
        <v>16646.059375000001</v>
      </c>
      <c r="L21" s="57">
        <f t="shared" si="1"/>
        <v>1.1858701556600413</v>
      </c>
      <c r="M21" s="57">
        <v>14311.145712040721</v>
      </c>
      <c r="N21" s="57">
        <f t="shared" si="2"/>
        <v>1.0195302209902914</v>
      </c>
      <c r="O21" s="64">
        <v>17002.039578966083</v>
      </c>
      <c r="P21" s="64">
        <f t="shared" si="3"/>
        <v>1.2112302898743381</v>
      </c>
      <c r="Q21" s="57">
        <v>13863.692205507612</v>
      </c>
      <c r="R21" s="57">
        <f t="shared" si="4"/>
        <v>0.85920497900213899</v>
      </c>
    </row>
    <row r="22" spans="1:18">
      <c r="B22" s="1" t="s">
        <v>117</v>
      </c>
      <c r="C22" s="57">
        <v>1100.4000000000001</v>
      </c>
      <c r="D22" s="57">
        <v>16.48</v>
      </c>
      <c r="E22" s="57">
        <v>267</v>
      </c>
      <c r="F22" s="57">
        <v>50.09</v>
      </c>
      <c r="G22" s="57">
        <v>2.4972737186477643</v>
      </c>
      <c r="H22" s="57">
        <v>59361</v>
      </c>
      <c r="I22" s="57">
        <v>49495.681250000001</v>
      </c>
      <c r="J22" s="57">
        <f t="shared" si="0"/>
        <v>0.83380807685180514</v>
      </c>
      <c r="K22" s="57">
        <v>52439.962500000001</v>
      </c>
      <c r="L22" s="57">
        <f t="shared" si="1"/>
        <v>0.88340766664982062</v>
      </c>
      <c r="M22" s="57">
        <v>58289.306051328997</v>
      </c>
      <c r="N22" s="57">
        <f t="shared" si="2"/>
        <v>0.981946160801351</v>
      </c>
      <c r="O22" s="64">
        <v>69099.178882619497</v>
      </c>
      <c r="P22" s="64">
        <f t="shared" si="3"/>
        <v>1.1640501151028368</v>
      </c>
      <c r="Q22" s="57">
        <v>56232.716280315464</v>
      </c>
      <c r="R22" s="57">
        <f t="shared" si="4"/>
        <v>1.1361135933514495</v>
      </c>
    </row>
    <row r="23" spans="1:18">
      <c r="I23" s="1" t="s">
        <v>141</v>
      </c>
      <c r="J23" s="57">
        <f>AVERAGE(J2:J22)</f>
        <v>1.4932970876313121</v>
      </c>
      <c r="L23" s="57">
        <f>AVERAGE(L2:L22)</f>
        <v>1.1537473148904507</v>
      </c>
      <c r="N23" s="57">
        <f>AVERAGE(N2:N22)</f>
        <v>0.97687555939826221</v>
      </c>
      <c r="P23" s="57">
        <f>AVERAGE(P2:P22)</f>
        <v>1.0748385855203071</v>
      </c>
      <c r="R23" s="5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Sensitivity</vt:lpstr>
      <vt:lpstr>SHAP</vt:lpstr>
      <vt:lpstr>Training</vt:lpstr>
      <vt:lpstr>Testing</vt:lpstr>
      <vt:lpstr>Accuracy</vt:lpstr>
      <vt:lpstr>para</vt:lpstr>
      <vt:lpstr>external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Piyawat Boonlertnirun</dc:creator>
  <cp:lastModifiedBy>piyawat boonlertnirun</cp:lastModifiedBy>
  <dcterms:created xsi:type="dcterms:W3CDTF">2026-04-30T07:15:54Z</dcterms:created>
  <dcterms:modified xsi:type="dcterms:W3CDTF">2026-08-30T13:35:44Z</dcterms:modified>
</cp:coreProperties>
</file>